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̳ssets" sheetId="1" r:id="rId4"/>
    <sheet state="hidden" name="B̳ases" sheetId="2" r:id="rId5"/>
    <sheet state="hidden" name="C̳álculos" sheetId="3" r:id="rId6"/>
    <sheet state="visible" name="D̳ashboard" sheetId="4" r:id="rId7"/>
  </sheets>
  <definedNames/>
  <calcPr/>
</workbook>
</file>

<file path=xl/sharedStrings.xml><?xml version="1.0" encoding="utf-8"?>
<sst xmlns="http://schemas.openxmlformats.org/spreadsheetml/2006/main" count="2150" uniqueCount="407">
  <si>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</si>
  <si>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</si>
  <si>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</si>
  <si>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</si>
  <si>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</si>
  <si>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</si>
  <si>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</si>
  <si>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</si>
  <si>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</si>
  <si>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</si>
  <si>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</si>
  <si>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</si>
  <si>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</si>
  <si>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</si>
  <si>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</si>
  <si>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</si>
  <si>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</si>
  <si>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</si>
  <si>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</si>
  <si>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</si>
  <si>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</si>
  <si>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</si>
  <si>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</si>
  <si>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</si>
  <si>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</si>
  <si>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</si>
  <si>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</si>
  <si>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</si>
  <si>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</si>
  <si>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</si>
  <si>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</si>
  <si>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</si>
  <si>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</si>
  <si>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</si>
  <si>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</si>
  <si>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</si>
  <si>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</si>
  <si>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</si>
  <si>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</si>
  <si>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</si>
  <si>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</si>
  <si>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</si>
  <si>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</si>
  <si>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</si>
  <si>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</si>
  <si>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</si>
  <si>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</si>
  <si>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</si>
  <si>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</si>
  <si>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</si>
  <si>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</si>
  <si>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</si>
  <si>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</si>
  <si>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</si>
  <si>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</si>
  <si>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</si>
  <si>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</si>
  <si>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</si>
  <si>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</si>
  <si>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</si>
  <si>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</si>
  <si>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</si>
  <si>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</si>
  <si>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</si>
  <si>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</si>
  <si>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</si>
  <si>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</si>
  <si>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</si>
  <si>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</si>
  <si>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</si>
  <si>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</si>
  <si>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</si>
  <si>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</si>
  <si>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</si>
  <si>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</si>
  <si>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</si>
  <si>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</si>
  <si>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</si>
  <si>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</si>
  <si>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</si>
  <si>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</si>
  <si>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</si>
  <si>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</si>
  <si>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</si>
  <si>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</si>
  <si>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</si>
  <si>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</si>
  <si>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</si>
  <si>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</si>
  <si>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</si>
  <si>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</si>
  <si>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</si>
  <si>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</si>
  <si>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</si>
  <si>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</si>
  <si>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</si>
  <si>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</si>
  <si>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</si>
  <si>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</si>
  <si>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</si>
  <si>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</si>
  <si>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</si>
  <si>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</si>
  <si>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</si>
  <si>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</si>
  <si>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</si>
  <si>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</si>
  <si>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</si>
  <si>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</si>
  <si>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</si>
  <si>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</si>
  <si>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</si>
  <si>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</si>
  <si>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</si>
  <si>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</si>
  <si>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</si>
  <si>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</si>
  <si>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</si>
  <si>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</si>
  <si>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</si>
  <si>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</si>
  <si>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</si>
  <si>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</si>
  <si>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</si>
  <si>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</si>
  <si>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</si>
  <si>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</si>
  <si>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</si>
  <si>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</si>
  <si>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</si>
  <si>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</si>
  <si>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</si>
  <si>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</si>
  <si>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</si>
  <si>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</si>
  <si>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</si>
  <si>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</si>
  <si>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</si>
  <si>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</si>
  <si>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</si>
  <si>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</si>
  <si>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</si>
  <si>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</si>
  <si>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</si>
  <si>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</si>
  <si>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</si>
  <si>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</si>
  <si>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</si>
  <si>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</si>
  <si>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</si>
  <si>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</si>
  <si>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</si>
  <si>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</si>
  <si>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</si>
  <si>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</si>
  <si>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</si>
  <si>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</si>
  <si>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</si>
  <si>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</si>
  <si>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</si>
  <si>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</si>
  <si>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</si>
  <si>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</si>
  <si>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</si>
  <si>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</si>
  <si>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</si>
  <si>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</si>
  <si>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</si>
  <si>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</si>
  <si>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</si>
  <si>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</si>
  <si>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</si>
  <si>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</si>
  <si>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</si>
  <si>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</si>
  <si>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</si>
  <si>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</si>
  <si>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</si>
  <si>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</si>
  <si>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</si>
  <si>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</si>
  <si>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</si>
  <si>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</si>
  <si>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</si>
  <si>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</si>
  <si>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</si>
  <si>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</si>
  <si>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</si>
  <si>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</si>
  <si>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</si>
  <si>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</si>
  <si>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</si>
  <si>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</si>
  <si>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</si>
  <si>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</si>
  <si>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</si>
  <si>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</si>
  <si>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</si>
  <si>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</si>
  <si>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</si>
  <si>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</si>
  <si>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</si>
  <si>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</si>
  <si>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</si>
  <si>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</si>
  <si>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</si>
  <si>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</si>
  <si>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</si>
  <si>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</si>
  <si>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</si>
  <si>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</si>
  <si>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</si>
  <si>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</si>
  <si>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</si>
  <si>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</si>
  <si>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</si>
  <si>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</si>
  <si>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</si>
  <si>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</si>
  <si>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</si>
  <si>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</si>
  <si>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</si>
  <si>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</si>
  <si>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</si>
  <si>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</si>
  <si>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</si>
  <si>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</si>
  <si>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</si>
  <si>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</si>
  <si>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</si>
  <si>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</si>
  <si>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</si>
  <si>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</si>
  <si>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</si>
  <si>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</si>
  <si>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</si>
  <si>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</si>
  <si>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</si>
  <si>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</si>
  <si>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</si>
  <si>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</si>
  <si>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</si>
  <si>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</si>
  <si>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</si>
  <si>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</si>
  <si>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</si>
  <si>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</si>
  <si>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</si>
  <si>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</si>
  <si>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</si>
  <si>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</si>
  <si>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</si>
  <si>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</si>
  <si>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</si>
  <si>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</si>
  <si>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</si>
  <si>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</si>
  <si>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</si>
  <si>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</si>
  <si>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</si>
  <si>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</si>
  <si>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</si>
  <si>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</si>
  <si>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</si>
  <si>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</si>
  <si>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</si>
  <si>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</si>
  <si>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</si>
  <si>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</si>
  <si>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</si>
  <si>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</si>
  <si>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</si>
  <si>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</si>
  <si>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</si>
  <si>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</si>
  <si>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</si>
  <si>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</si>
  <si>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</si>
  <si>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</si>
  <si>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</si>
  <si>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</si>
  <si>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</si>
  <si>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</si>
  <si>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</si>
  <si>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</si>
  <si>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</si>
  <si>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</si>
  <si>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</si>
  <si>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</si>
  <si>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</si>
  <si>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</si>
  <si>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</si>
  <si>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</si>
  <si>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</si>
  <si>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</si>
  <si>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</si>
  <si>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</si>
  <si>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</si>
  <si>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</si>
  <si>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</si>
  <si>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</si>
  <si>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</si>
  <si>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</si>
  <si>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</si>
  <si>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</si>
  <si>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</si>
  <si>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</si>
  <si>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</si>
  <si>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</si>
  <si>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</si>
  <si>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</si>
  <si>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</si>
  <si>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</si>
  <si>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Cálculos do Dashboard</t>
  </si>
  <si>
    <t>Todas as tabelas leem a aba Bases e respondem aos filtros da aba Dashboard. Texto azul = entrada manual.</t>
  </si>
  <si>
    <t>Filtro</t>
  </si>
  <si>
    <t>Seleção (Dashboard)</t>
  </si>
  <si>
    <t>Critério (valor na base)</t>
  </si>
  <si>
    <t>Rótulo no filtro</t>
  </si>
  <si>
    <t>Valor na base</t>
  </si>
  <si>
    <t>Plano</t>
  </si>
  <si>
    <t>Mensal</t>
  </si>
  <si>
    <t>Tipo de assinatura</t>
  </si>
  <si>
    <t>Trimestral</t>
  </si>
  <si>
    <t>Renovação automática</t>
  </si>
  <si>
    <t>Anual</t>
  </si>
  <si>
    <t>Sim</t>
  </si>
  <si>
    <t>Ano de referência (meses do gráfico)</t>
  </si>
  <si>
    <t>Entrada manual: a base cobre jan–dez/2024.</t>
  </si>
  <si>
    <t>Não</t>
  </si>
  <si>
    <t>T1 · Receita, cupons e ticket por plano (ignora o filtro de Plano)</t>
  </si>
  <si>
    <t>Receita</t>
  </si>
  <si>
    <t>Assinantes</t>
  </si>
  <si>
    <t>Cupons</t>
  </si>
  <si>
    <t>Desconto s/ valor bruto</t>
  </si>
  <si>
    <t>Ticket médio</t>
  </si>
  <si>
    <t>Auxiliar do Top 10 (uma linha por assinatura da base)</t>
  </si>
  <si>
    <t>Chave (valor + desempate)</t>
  </si>
  <si>
    <t>Total</t>
  </si>
  <si>
    <t>T2 · Evolução mensal (aplica todos os filtros)</t>
  </si>
  <si>
    <t>Mês</t>
  </si>
  <si>
    <t>Início do mês</t>
  </si>
  <si>
    <t>Novos assinantes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</si>
  <si>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</si>
  <si>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</si>
  <si>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</si>
  <si>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</si>
  <si>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</si>
  <si>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</si>
  <si>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</si>
  <si>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</si>
  <si>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</si>
  <si>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</si>
  <si>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</si>
  <si>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</si>
  <si>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T3 · Mix por tipo de assinatura (ignora o filtro de Tipo)</t>
  </si>
  <si>
    <t>Tipo</t>
  </si>
  <si>
    <t>T4 · Renovação automática por plano (ignora Plano e Renovação)</t>
  </si>
  <si>
    <t>Com renovação</t>
  </si>
  <si>
    <t>Sem renovação</t>
  </si>
  <si>
    <t>T5 · Adesão aos add-ons por plano (ignora o filtro de Plano)</t>
  </si>
  <si>
    <t>% com Minecraft</t>
  </si>
  <si>
    <t>% com EA Play</t>
  </si>
  <si>
    <t>T6 · Indicadores (aplicam os filtros indicados)</t>
  </si>
  <si>
    <t>Indicador</t>
  </si>
  <si>
    <t>Valor</t>
  </si>
  <si>
    <t>Observação</t>
  </si>
  <si>
    <t>Receita total</t>
  </si>
  <si>
    <t>Soma de Total Value · todos os filtros</t>
  </si>
  <si>
    <t>Todos os filtros</t>
  </si>
  <si>
    <t>Receita ÷ assinantes</t>
  </si>
  <si>
    <t>Cupons concedidos</t>
  </si>
  <si>
    <t>Soma de Coupon Value</t>
  </si>
  <si>
    <t>Cupons sobre o valor bruto</t>
  </si>
  <si>
    <t>Cupom ÷ (receita + cupom)</t>
  </si>
  <si>
    <t>% com renovação automática</t>
  </si>
  <si>
    <t>Auto Renewal = Yes</t>
  </si>
  <si>
    <t>Assinantes sem renovação automática</t>
  </si>
  <si>
    <t>Filtros de Plano e Tipo</t>
  </si>
  <si>
    <t>Receita desses assinantes</t>
  </si>
  <si>
    <t>Assinantes no plano mensal</t>
  </si>
  <si>
    <t>Filtros de Plano e Renovação</t>
  </si>
  <si>
    <t>Receita desses assinantes (mensal)</t>
  </si>
  <si>
    <t>T7 · Receita por plano × tipo (aplica filtro de Renovação)</t>
  </si>
  <si>
    <t>T8 · Top 10 assinantes por valor (aplica todos os filtros)</t>
  </si>
  <si>
    <t>Posição</t>
  </si>
  <si>
    <t>Chave de ranking</t>
  </si>
  <si>
    <t>Linha na base</t>
  </si>
  <si>
    <t>Assinante</t>
  </si>
  <si>
    <t>Dashboard de Vendas · Assinaturas</t>
  </si>
  <si>
    <t>PLANO</t>
  </si>
  <si>
    <t>TIPO DE ASSINATURA</t>
  </si>
  <si>
    <t>RENOVAÇÃO AUTOMÁTICA</t>
  </si>
  <si>
    <t>Todos</t>
  </si>
  <si>
    <t>◄ Escolha nos filtros: indicadores e gráficos atualizam sozinhos.</t>
  </si>
  <si>
    <t>RECEITA TOTAL</t>
  </si>
  <si>
    <t>ASSINANTES</t>
  </si>
  <si>
    <t>TICKET MÉDIO</t>
  </si>
  <si>
    <t>CUPONS CONCEDIDOS</t>
  </si>
  <si>
    <t>Top 10 assinantes por valor</t>
  </si>
  <si>
    <t>#</t>
  </si>
  <si>
    <t>Valor total</t>
  </si>
  <si>
    <t>Valor total = plano + add-ons − cupom. Respeita todos os filtros.</t>
  </si>
  <si>
    <t>Receita por plano × tipo de assinatura</t>
  </si>
  <si>
    <t>Oportunidades de ação</t>
  </si>
  <si>
    <t>Públicos para retenção e migração para planos mais longos.</t>
  </si>
  <si>
    <t>Fonte: aba Bases. Os gráficos por plano, tipo e renovação ignoram o próprio filtro para continuar mostrando a comparação. Regras e fórmulas na aba Cálculos.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</si>
</sst>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_-&quot;R$ &quot;* #,##0.00_-;&quot;-R$ &quot;* #,##0.00_-;_-&quot;R$ &quot;* \-??_-;_-@"/>
    <numFmt numFmtId="166" formatCode="&quot;R$ &quot;#,##0"/>
    <numFmt numFmtId="167" formatCode="0.0%"/>
    <numFmt numFmtId="168" formatCode="&quot;R$ &quot;#,##0.00"/>
    <numFmt numFmtId="169" formatCode="0.000000"/>
    <numFmt numFmtId="170" formatCode="mm/yyyy"/>
  </numFmts>
  <fonts count="22">
    <font>
      <sz val="11.0"/>
      <color/>
      <name val="Arial"/>
      <scheme val="minor"/>
    </font>
    <font>
      <b/>
      <sz val="15.0"/>
      <color rgb="FF0E2841"/>
      <name val="Aptos Narrow"/>
    </font>
    <font>
      <sz val="11.0"/>
      <color/>
      <name val="Aptos Narrow"/>
    </font>
    <font>
      <b/>
      <sz val="11.0"/>
      <color/>
      <name val="Aptos Narrow"/>
    </font>
    <font>
      <b/>
      <sz val="14.0"/>
      <color rgb="FF1F2937"/>
      <name val="Arial"/>
    </font>
    <font>
      <i/>
      <sz val="9.0"/>
      <color rgb="FF6B7280"/>
      <name val="Arial"/>
    </font>
    <font>
      <b/>
      <sz val="10.0"/>
      <color rgb="FF1F2937"/>
      <name val="Arial"/>
    </font>
    <font>
      <sz val="10.0"/>
      <color rgb="FF1F2937"/>
      <name val="Arial"/>
    </font>
    <font>
      <sz val="10.0"/>
      <color rgb="FF0000FF"/>
      <name val="Arial"/>
    </font>
    <font>
      <b/>
      <sz val="11.0"/>
      <color rgb="FF0F766E"/>
      <name val="Arial"/>
    </font>
    <font>
      <b/>
      <sz val="10.0"/>
      <color rgb="FF0F766E"/>
      <name val="Arial"/>
    </font>
    <font>
      <sz val="9.0"/>
      <color rgb="FF6B7280"/>
      <name val="Arial"/>
    </font>
    <font>
      <sz val="9.0"/>
      <color rgb="FF0000FF"/>
      <name val="Arial"/>
    </font>
    <font>
      <b/>
      <sz val="20.0"/>
      <color rgb="FF1F2937"/>
      <name val="Arial"/>
    </font>
    <font/>
    <font>
      <sz val="10.0"/>
      <color rgb="FF6B7280"/>
      <name val="Arial"/>
    </font>
    <font>
      <b/>
      <sz val="8.0"/>
      <color rgb="FF6B7280"/>
      <name val="Arial"/>
    </font>
    <font>
      <b/>
      <sz val="11.0"/>
      <color rgb="FF1F2937"/>
      <name val="Arial"/>
    </font>
    <font>
      <b/>
      <sz val="22.0"/>
      <color rgb="FF0F766E"/>
      <name val="Arial"/>
    </font>
    <font>
      <i/>
      <sz val="8.0"/>
      <color rgb="FF6B7280"/>
      <name val="Arial"/>
    </font>
    <font>
      <b/>
      <sz val="9.0"/>
      <color rgb="FF1F2937"/>
      <name val="Arial"/>
    </font>
    <font>
      <b/>
      <sz val="12.0"/>
      <color rgb="FF0F766E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19">
    <border/>
    <border>
      <bottom style="thick">
        <color/>
      </bottom>
    </border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22C55E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ck">
        <color rgb="FF22C55E"/>
      </left>
      <top/>
      <bottom/>
    </border>
    <border>
      <left style="thick">
        <color rgb="FF22C55E"/>
      </left>
      <top/>
    </border>
    <border>
      <top/>
    </border>
    <border>
      <right/>
      <top/>
    </border>
    <border>
      <left style="thick">
        <color rgb="FF22C55E"/>
      </left>
      <bottom/>
    </border>
    <border>
      <bottom/>
    </border>
    <border>
      <right/>
      <bottom/>
    </border>
    <border>
      <left/>
      <top/>
    </border>
    <border>
      <left/>
      <bottom/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2" fontId="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2" fillId="3" fontId="2" numFmtId="0" xfId="0" applyAlignment="1" applyBorder="1" applyFill="1" applyFont="1">
      <alignment shrinkToFit="0" vertical="bottom" wrapText="0"/>
    </xf>
    <xf borderId="2" fillId="4" fontId="2" numFmtId="0" xfId="0" applyAlignment="1" applyBorder="1" applyFill="1" applyFont="1">
      <alignment shrinkToFit="0" vertical="bottom" wrapText="0"/>
    </xf>
    <xf borderId="2" fillId="5" fontId="2" numFmtId="0" xfId="0" applyAlignment="1" applyBorder="1" applyFill="1" applyFont="1">
      <alignment shrinkToFit="0" vertical="bottom" wrapText="0"/>
    </xf>
    <xf borderId="2" fillId="6" fontId="2" numFmtId="0" xfId="0" applyAlignment="1" applyBorder="1" applyFill="1" applyFont="1">
      <alignment shrinkToFit="0" vertical="bottom" wrapText="0"/>
    </xf>
    <xf borderId="2" fillId="7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3" fillId="2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1" xfId="0" applyAlignment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7" numFmtId="166" xfId="0" applyAlignment="1" applyFont="1" applyNumberFormat="1">
      <alignment shrinkToFit="0" vertical="bottom" wrapText="0"/>
    </xf>
    <xf borderId="0" fillId="0" fontId="7" numFmtId="3" xfId="0" applyAlignment="1" applyFont="1" applyNumberFormat="1">
      <alignment shrinkToFit="0" vertical="bottom" wrapText="0"/>
    </xf>
    <xf borderId="0" fillId="0" fontId="7" numFmtId="167" xfId="0" applyAlignment="1" applyFont="1" applyNumberFormat="1">
      <alignment shrinkToFit="0" vertical="bottom" wrapText="0"/>
    </xf>
    <xf borderId="0" fillId="0" fontId="7" numFmtId="168" xfId="0" applyAlignment="1" applyFont="1" applyNumberFormat="1">
      <alignment shrinkToFit="0" vertical="bottom" wrapText="0"/>
    </xf>
    <xf borderId="0" fillId="0" fontId="11" numFmtId="169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66" xfId="0" applyAlignment="1" applyFont="1" applyNumberFormat="1">
      <alignment shrinkToFit="0" vertical="bottom" wrapText="0"/>
    </xf>
    <xf borderId="0" fillId="0" fontId="6" numFmtId="3" xfId="0" applyAlignment="1" applyFont="1" applyNumberFormat="1">
      <alignment shrinkToFit="0" vertical="bottom" wrapText="0"/>
    </xf>
    <xf borderId="0" fillId="0" fontId="6" numFmtId="167" xfId="0" applyAlignment="1" applyFont="1" applyNumberFormat="1">
      <alignment shrinkToFit="0" vertical="bottom" wrapText="0"/>
    </xf>
    <xf borderId="0" fillId="0" fontId="6" numFmtId="168" xfId="0" applyAlignment="1" applyFont="1" applyNumberFormat="1">
      <alignment shrinkToFit="0" vertical="bottom" wrapText="0"/>
    </xf>
    <xf borderId="0" fillId="0" fontId="7" numFmtId="170" xfId="0" applyAlignment="1" applyFont="1" applyNumberFormat="1">
      <alignment shrinkToFit="0" vertical="bottom" wrapText="0"/>
    </xf>
    <xf borderId="0" fillId="0" fontId="7" numFmtId="9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7" numFmtId="169" xfId="0" applyAlignment="1" applyFont="1" applyNumberFormat="1">
      <alignment shrinkToFit="0" vertical="bottom" wrapText="0"/>
    </xf>
    <xf borderId="2" fillId="8" fontId="2" numFmtId="0" xfId="0" applyAlignment="1" applyBorder="1" applyFill="1" applyFont="1">
      <alignment shrinkToFit="0" vertical="bottom" wrapText="0"/>
    </xf>
    <xf borderId="4" fillId="8" fontId="13" numFmtId="0" xfId="0" applyAlignment="1" applyBorder="1" applyFill="1" applyFont="1">
      <alignment horizontal="left" shrinkToFit="0" vertical="center" wrapText="1"/>
    </xf>
    <xf borderId="5" fillId="0" fontId="14" numFmtId="0" xfId="0" applyBorder="1" applyFont="1"/>
    <xf borderId="6" fillId="0" fontId="14" numFmtId="0" xfId="0" applyBorder="1" applyFont="1"/>
    <xf borderId="4" fillId="8" fontId="15" numFmtId="0" xfId="0" applyAlignment="1" applyBorder="1" applyFill="1" applyFont="1">
      <alignment horizontal="left" shrinkToFit="0" vertical="center" wrapText="1"/>
    </xf>
    <xf borderId="2" fillId="3" fontId="16" numFmtId="0" xfId="0" applyAlignment="1" applyBorder="1" applyFill="1" applyFont="1">
      <alignment horizontal="left" shrinkToFit="0" vertical="bottom" wrapText="0"/>
    </xf>
    <xf borderId="7" fillId="8" fontId="17" numFmtId="0" xfId="0" applyAlignment="1" applyBorder="1" applyFill="1" applyFont="1">
      <alignment horizontal="center" shrinkToFit="0" vertical="center" wrapText="1"/>
    </xf>
    <xf borderId="8" fillId="0" fontId="14" numFmtId="0" xfId="0" applyBorder="1" applyFont="1"/>
    <xf borderId="9" fillId="0" fontId="14" numFmtId="0" xfId="0" applyBorder="1" applyFont="1"/>
    <xf borderId="4" fillId="3" fontId="5" numFmtId="0" xfId="0" applyAlignment="1" applyBorder="1" applyFill="1" applyFont="1">
      <alignment horizontal="left" shrinkToFit="0" vertical="center" wrapText="1"/>
    </xf>
    <xf borderId="10" fillId="8" fontId="16" numFmtId="0" xfId="0" applyAlignment="1" applyBorder="1" applyFill="1" applyFont="1">
      <alignment horizontal="left" shrinkToFit="0" vertical="bottom" wrapText="0"/>
    </xf>
    <xf borderId="11" fillId="8" fontId="18" numFmtId="166" xfId="0" applyAlignment="1" applyBorder="1" applyFill="1" applyFont="1" applyNumberFormat="1">
      <alignment horizontal="left" shrinkToFit="0" vertical="center" wrapText="0"/>
    </xf>
    <xf borderId="12" fillId="0" fontId="14" numFmtId="0" xfId="0" applyBorder="1" applyFont="1"/>
    <xf borderId="13" fillId="0" fontId="14" numFmtId="0" xfId="0" applyBorder="1" applyFont="1"/>
    <xf borderId="11" fillId="8" fontId="18" numFmtId="3" xfId="0" applyAlignment="1" applyBorder="1" applyFill="1" applyFont="1" applyNumberFormat="1">
      <alignment horizontal="left" shrinkToFit="0" vertical="center" wrapText="0"/>
    </xf>
    <xf borderId="11" fillId="8" fontId="18" numFmtId="168" xfId="0" applyAlignment="1" applyBorder="1" applyFill="1" applyFont="1" applyNumberFormat="1">
      <alignment horizontal="left" shrinkToFit="0" vertical="center" wrapText="0"/>
    </xf>
    <xf borderId="11" fillId="8" fontId="18" numFmtId="167" xfId="0" applyAlignment="1" applyBorder="1" applyFill="1" applyFont="1" applyNumberFormat="1">
      <alignment horizontal="left" shrinkToFit="0" vertical="center" wrapText="0"/>
    </xf>
    <xf borderId="14" fillId="0" fontId="14" numFmtId="0" xfId="0" applyBorder="1" applyFont="1"/>
    <xf borderId="15" fillId="0" fontId="14" numFmtId="0" xfId="0" applyBorder="1" applyFont="1"/>
    <xf borderId="16" fillId="0" fontId="14" numFmtId="0" xfId="0" applyBorder="1" applyFont="1"/>
    <xf borderId="10" fillId="8" fontId="19" numFmtId="0" xfId="0" applyAlignment="1" applyBorder="1" applyFill="1" applyFont="1">
      <alignment horizontal="left" shrinkToFit="0" vertical="top" wrapText="0"/>
    </xf>
    <xf borderId="4" fillId="8" fontId="17" numFmtId="0" xfId="0" applyAlignment="1" applyBorder="1" applyFill="1" applyFont="1">
      <alignment horizontal="left" shrinkToFit="0" vertical="center" wrapText="0"/>
    </xf>
    <xf borderId="2" fillId="2" fontId="20" numFmtId="0" xfId="0" applyAlignment="1" applyBorder="1" applyFill="1" applyFont="1">
      <alignment horizontal="center" shrinkToFit="0" vertical="center" wrapText="1"/>
    </xf>
    <xf borderId="4" fillId="2" fontId="20" numFmtId="0" xfId="0" applyAlignment="1" applyBorder="1" applyFill="1" applyFont="1">
      <alignment horizontal="center" shrinkToFit="0" vertical="center" wrapText="1"/>
    </xf>
    <xf borderId="2" fillId="8" fontId="7" numFmtId="1" xfId="0" applyAlignment="1" applyBorder="1" applyFill="1" applyFont="1" applyNumberFormat="1">
      <alignment horizontal="center" shrinkToFit="0" vertical="center" wrapText="1"/>
    </xf>
    <xf borderId="4" fillId="8" fontId="7" numFmtId="0" xfId="0" applyAlignment="1" applyBorder="1" applyFill="1" applyFont="1">
      <alignment horizontal="left" shrinkToFit="0" vertical="center" wrapText="0"/>
    </xf>
    <xf borderId="4" fillId="8" fontId="7" numFmtId="0" xfId="0" applyAlignment="1" applyBorder="1" applyFill="1" applyFont="1">
      <alignment horizontal="center" shrinkToFit="0" vertical="center" wrapText="1"/>
    </xf>
    <xf borderId="4" fillId="8" fontId="7" numFmtId="166" xfId="0" applyAlignment="1" applyBorder="1" applyFill="1" applyFont="1" applyNumberFormat="1">
      <alignment horizontal="center" shrinkToFit="0" vertical="center" wrapText="1"/>
    </xf>
    <xf borderId="2" fillId="9" fontId="7" numFmtId="1" xfId="0" applyAlignment="1" applyBorder="1" applyFill="1" applyFont="1" applyNumberFormat="1">
      <alignment horizontal="center" shrinkToFit="0" vertical="center" wrapText="1"/>
    </xf>
    <xf borderId="4" fillId="9" fontId="7" numFmtId="0" xfId="0" applyAlignment="1" applyBorder="1" applyFill="1" applyFont="1">
      <alignment horizontal="left" shrinkToFit="0" vertical="center" wrapText="0"/>
    </xf>
    <xf borderId="4" fillId="9" fontId="7" numFmtId="0" xfId="0" applyAlignment="1" applyBorder="1" applyFill="1" applyFont="1">
      <alignment horizontal="center" shrinkToFit="0" vertical="center" wrapText="1"/>
    </xf>
    <xf borderId="4" fillId="9" fontId="7" numFmtId="166" xfId="0" applyAlignment="1" applyBorder="1" applyFill="1" applyFont="1" applyNumberFormat="1">
      <alignment horizontal="center" shrinkToFit="0" vertical="center" wrapText="1"/>
    </xf>
    <xf borderId="17" fillId="8" fontId="19" numFmtId="0" xfId="0" applyAlignment="1" applyBorder="1" applyFill="1" applyFont="1">
      <alignment horizontal="left" shrinkToFit="0" vertical="center" wrapText="1"/>
    </xf>
    <xf borderId="18" fillId="0" fontId="14" numFmtId="0" xfId="0" applyBorder="1" applyFont="1"/>
    <xf borderId="4" fillId="8" fontId="21" numFmtId="3" xfId="0" applyAlignment="1" applyBorder="1" applyFill="1" applyFont="1" applyNumberFormat="1">
      <alignment horizontal="center" shrinkToFit="0" vertical="center" wrapText="1"/>
    </xf>
    <xf borderId="2" fillId="8" fontId="7" numFmtId="166" xfId="0" applyAlignment="1" applyBorder="1" applyFill="1" applyFont="1" applyNumberFormat="1">
      <alignment horizontal="center" shrinkToFit="0" vertical="center" wrapText="1"/>
    </xf>
    <xf borderId="4" fillId="8" fontId="6" numFmtId="166" xfId="0" applyAlignment="1" applyBorder="1" applyFill="1" applyFont="1" applyNumberFormat="1">
      <alignment horizontal="center" shrinkToFit="0" vertical="center" wrapText="1"/>
    </xf>
    <xf borderId="4" fillId="8" fontId="21" numFmtId="166" xfId="0" applyAlignment="1" applyBorder="1" applyFill="1" applyFont="1" applyNumberFormat="1">
      <alignment horizontal="center" shrinkToFit="0" vertical="center" wrapText="1"/>
    </xf>
    <xf borderId="4" fillId="8" fontId="6" numFmtId="0" xfId="0" applyAlignment="1" applyBorder="1" applyFill="1" applyFont="1">
      <alignment horizontal="left" shrinkToFit="0" vertical="center" wrapText="0"/>
    </xf>
    <xf borderId="2" fillId="8" fontId="6" numFmtId="166" xfId="0" applyAlignment="1" applyBorder="1" applyFill="1" applyFont="1" applyNumberFormat="1">
      <alignment horizontal="center" shrinkToFit="0" vertical="center" wrapText="1"/>
    </xf>
    <xf borderId="4" fillId="8" fontId="19" numFmtId="0" xfId="0" applyAlignment="1" applyBorder="1" applyFill="1" applyFont="1">
      <alignment horizontal="left" shrinkToFit="0" vertical="center" wrapText="0"/>
    </xf>
    <xf borderId="17" fillId="3" fontId="19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1F2937"/>
                </a:solidFill>
                <a:latin typeface="Arial"/>
              </a:defRPr>
            </a:pPr>
            <a:r>
              <a:rPr b="1" i="0" sz="1100">
                <a:solidFill>
                  <a:srgbClr val="1F2937"/>
                </a:solidFill>
                <a:latin typeface="Arial"/>
              </a:rPr>
              <a:t>Receita por plano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Receita</c:v>
          </c:tx>
          <c:spPr>
            <a:solidFill>
              <a:srgbClr val="22C55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'C̳álculos'!$A$12:$A$14</c:f>
            </c:strRef>
          </c:cat>
          <c:val>
            <c:numRef>
              <c:f>'C̳álculos'!$B$12:$B$14</c:f>
              <c:numCache/>
            </c:numRef>
          </c:val>
        </c:ser>
        <c:axId val="1770312934"/>
        <c:axId val="1961215854"/>
      </c:barChart>
      <c:catAx>
        <c:axId val="1770312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6B7280"/>
                </a:solidFill>
                <a:latin typeface="Arial"/>
              </a:defRPr>
            </a:pPr>
          </a:p>
        </c:txPr>
        <c:crossAx val="1961215854"/>
      </c:catAx>
      <c:valAx>
        <c:axId val="19612158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$ 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6B7280"/>
                </a:solidFill>
                <a:latin typeface="Arial"/>
              </a:defRPr>
            </a:pPr>
          </a:p>
        </c:txPr>
        <c:crossAx val="1770312934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1F2937"/>
                </a:solidFill>
                <a:latin typeface="Arial"/>
              </a:defRPr>
            </a:pPr>
            <a:r>
              <a:rPr b="1" i="0" sz="1100">
                <a:solidFill>
                  <a:srgbClr val="1F2937"/>
                </a:solidFill>
                <a:latin typeface="Arial"/>
              </a:rPr>
              <a:t>Evolução mensal: receita e novos assinantes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Receita</c:v>
          </c:tx>
          <c:spPr>
            <a:solidFill>
              <a:srgbClr val="9BC848"/>
            </a:solidFill>
            <a:ln cmpd="sng">
              <a:noFill/>
            </a:ln>
          </c:spPr>
          <c:invertIfNegative val="0"/>
          <c:cat>
            <c:strRef>
              <c:f>'C̳álculos'!$A$19:$A$30</c:f>
            </c:strRef>
          </c:cat>
          <c:val>
            <c:numRef>
              <c:f>'C̳álculos'!$C$19:$C$30</c:f>
              <c:numCache/>
            </c:numRef>
          </c:val>
        </c:ser>
        <c:axId val="35606154"/>
        <c:axId val="1330305669"/>
      </c:barChart>
      <c:lineChart>
        <c:varyColors val="0"/>
        <c:ser>
          <c:idx val="1"/>
          <c:order val="1"/>
          <c:tx>
            <c:v>Novos assinantes</c:v>
          </c:tx>
          <c:spPr>
            <a:ln cmpd="sng" w="19050">
              <a:solidFill>
                <a:srgbClr val="0F766E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0F766E">
                  <a:alpha val="100000"/>
                </a:srgbClr>
              </a:solidFill>
              <a:ln cmpd="sng">
                <a:solidFill>
                  <a:srgbClr val="0F766E">
                    <a:alpha val="100000"/>
                  </a:srgbClr>
                </a:solidFill>
              </a:ln>
            </c:spPr>
          </c:marker>
          <c:cat>
            <c:strRef>
              <c:f>'C̳álculos'!$A$19:$A$30</c:f>
            </c:strRef>
          </c:cat>
          <c:val>
            <c:numRef>
              <c:f>'C̳álculos'!$D$19:$D$30</c:f>
              <c:numCache/>
            </c:numRef>
          </c:val>
          <c:smooth val="0"/>
        </c:ser>
        <c:axId val="35606154"/>
        <c:axId val="1330305669"/>
      </c:lineChart>
      <c:catAx>
        <c:axId val="35606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6B7280"/>
                </a:solidFill>
                <a:latin typeface="Arial"/>
              </a:defRPr>
            </a:pPr>
          </a:p>
        </c:txPr>
        <c:crossAx val="1330305669"/>
      </c:catAx>
      <c:valAx>
        <c:axId val="1330305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$ 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6B7280"/>
                </a:solidFill>
                <a:latin typeface="Arial"/>
              </a:defRPr>
            </a:pPr>
          </a:p>
        </c:txPr>
        <c:crossAx val="35606154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1F2937"/>
                </a:solidFill>
                <a:latin typeface="Arial"/>
              </a:defRPr>
            </a:pPr>
            <a:r>
              <a:rPr b="1" i="0" sz="1100">
                <a:solidFill>
                  <a:srgbClr val="1F2937"/>
                </a:solidFill>
                <a:latin typeface="Arial"/>
              </a:rPr>
              <a:t>Mix por tipo de assinatura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'C̳álculos'!$C$33</c:f>
            </c:strRef>
          </c:tx>
          <c:dPt>
            <c:idx val="0"/>
            <c:spPr>
              <a:solidFill>
                <a:srgbClr val="22C55E"/>
              </a:solidFill>
            </c:spPr>
          </c:dPt>
          <c:dPt>
            <c:idx val="1"/>
            <c:spPr>
              <a:solidFill>
                <a:srgbClr val="9BC848"/>
              </a:solidFill>
            </c:spPr>
          </c:dPt>
          <c:dPt>
            <c:idx val="2"/>
            <c:spPr>
              <a:solidFill>
                <a:srgbClr val="2AE6B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'C̳álculos'!$A$34:$A$36</c:f>
            </c:strRef>
          </c:cat>
          <c:val>
            <c:numRef>
              <c:f>'C̳álculos'!$C$34:$C$36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1F2937"/>
                </a:solidFill>
                <a:latin typeface="Arial"/>
              </a:defRPr>
            </a:pPr>
            <a:r>
              <a:rPr b="1" i="0" sz="1100">
                <a:solidFill>
                  <a:srgbClr val="1F2937"/>
                </a:solidFill>
                <a:latin typeface="Arial"/>
              </a:rPr>
              <a:t>Renovação automática por plano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Com renovação</c:v>
          </c:tx>
          <c:spPr>
            <a:solidFill>
              <a:srgbClr val="22C55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'C̳álculos'!$A$40:$A$42</c:f>
            </c:strRef>
          </c:cat>
          <c:val>
            <c:numRef>
              <c:f>'C̳álculos'!$B$40:$B$42</c:f>
              <c:numCache/>
            </c:numRef>
          </c:val>
        </c:ser>
        <c:ser>
          <c:idx val="1"/>
          <c:order val="1"/>
          <c:tx>
            <c:v>Sem renovação</c:v>
          </c:tx>
          <c:spPr>
            <a:solidFill>
              <a:srgbClr val="9CA3AF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'C̳álculos'!$A$40:$A$42</c:f>
            </c:strRef>
          </c:cat>
          <c:val>
            <c:numRef>
              <c:f>'C̳álculos'!$C$40:$C$42</c:f>
              <c:numCache/>
            </c:numRef>
          </c:val>
        </c:ser>
        <c:overlap val="100"/>
        <c:axId val="1850505155"/>
        <c:axId val="1592722003"/>
      </c:barChart>
      <c:catAx>
        <c:axId val="1850505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6B7280"/>
                </a:solidFill>
                <a:latin typeface="Arial"/>
              </a:defRPr>
            </a:pPr>
          </a:p>
        </c:txPr>
        <c:crossAx val="1592722003"/>
      </c:catAx>
      <c:valAx>
        <c:axId val="1592722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6B7280"/>
                </a:solidFill>
                <a:latin typeface="Arial"/>
              </a:defRPr>
            </a:pPr>
          </a:p>
        </c:txPr>
        <c:crossAx val="1850505155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1F2937"/>
                </a:solidFill>
                <a:latin typeface="Arial"/>
              </a:defRPr>
            </a:pPr>
            <a:r>
              <a:rPr b="1" i="0" sz="1100">
                <a:solidFill>
                  <a:srgbClr val="1F2937"/>
                </a:solidFill>
                <a:latin typeface="Arial"/>
              </a:rPr>
              <a:t>Adesão aos add-ons por plano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% com Minecraft</c:v>
          </c:tx>
          <c:spPr>
            <a:solidFill>
              <a:srgbClr val="22C55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'C̳álculos'!$A$46:$A$48</c:f>
            </c:strRef>
          </c:cat>
          <c:val>
            <c:numRef>
              <c:f>'C̳álculos'!$B$46:$B$48</c:f>
              <c:numCache/>
            </c:numRef>
          </c:val>
        </c:ser>
        <c:ser>
          <c:idx val="1"/>
          <c:order val="1"/>
          <c:tx>
            <c:v>% com EA Play</c:v>
          </c:tx>
          <c:spPr>
            <a:solidFill>
              <a:srgbClr val="0F766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'C̳álculos'!$A$46:$A$48</c:f>
            </c:strRef>
          </c:cat>
          <c:val>
            <c:numRef>
              <c:f>'C̳álculos'!$C$46:$C$48</c:f>
              <c:numCache/>
            </c:numRef>
          </c:val>
        </c:ser>
        <c:axId val="1876919356"/>
        <c:axId val="379343492"/>
      </c:barChart>
      <c:catAx>
        <c:axId val="1876919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6B7280"/>
                </a:solidFill>
                <a:latin typeface="Arial"/>
              </a:defRPr>
            </a:pPr>
          </a:p>
        </c:txPr>
        <c:crossAx val="379343492"/>
      </c:catAx>
      <c:valAx>
        <c:axId val="37934349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6B7280"/>
                </a:solidFill>
                <a:latin typeface="Arial"/>
              </a:defRPr>
            </a:pPr>
          </a:p>
        </c:txPr>
        <c:crossAx val="1876919356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1F2937"/>
                </a:solidFill>
                <a:latin typeface="Arial"/>
              </a:defRPr>
            </a:pPr>
            <a:r>
              <a:rPr b="1" i="0" sz="1100">
                <a:solidFill>
                  <a:srgbClr val="1F2937"/>
                </a:solidFill>
                <a:latin typeface="Arial"/>
              </a:rPr>
              <a:t>Cupons sobre o valor bruto, por plano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Desconto s/ valor bruto</c:v>
          </c:tx>
          <c:spPr>
            <a:solidFill>
              <a:srgbClr val="9BC848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'C̳álculos'!$A$12:$A$14</c:f>
            </c:strRef>
          </c:cat>
          <c:val>
            <c:numRef>
              <c:f>'C̳álculos'!$E$12:$E$14</c:f>
              <c:numCache/>
            </c:numRef>
          </c:val>
        </c:ser>
        <c:axId val="421678501"/>
        <c:axId val="414580756"/>
      </c:barChart>
      <c:catAx>
        <c:axId val="421678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6B7280"/>
                </a:solidFill>
                <a:latin typeface="Arial"/>
              </a:defRPr>
            </a:pPr>
          </a:p>
        </c:txPr>
        <c:crossAx val="414580756"/>
      </c:catAx>
      <c:valAx>
        <c:axId val="414580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6B7280"/>
                </a:solidFill>
                <a:latin typeface="Arial"/>
              </a:defRPr>
            </a:pPr>
          </a:p>
        </c:txPr>
        <c:crossAx val="421678501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447675</xdr:colOff>
      <xdr:row>30</xdr:row>
      <xdr:rowOff>38100</xdr:rowOff>
    </xdr:from>
    <xdr:ext cx="1666875" cy="257175"/>
    <xdr:grpSp>
      <xdr:nvGrpSpPr>
        <xdr:cNvPr id="4" name="Agrupar 16"/>
        <xdr:cNvGrpSpPr/>
      </xdr:nvGrpSpPr>
      <xdr:grpSpPr>
        <a:xfrm>
          <a:off x="1206720" y="5905440"/>
          <a:ext cx="1996560" cy="257040"/>
          <a:chOff x="1206720" y="5905440"/>
          <a:chExt cx="1996560" cy="257040"/>
        </a:xfrm>
      </xdr:grpSpPr>
      <xdr:pic>
        <xdr:nvPicPr>
          <xdr:cNvPr id="5" name="Gráfico 13"/>
          <xdr:cNvPicPr/>
        </xdr:nvPicPr>
        <xdr:blipFill>
          <a:blip r:embed="rId1"/>
          <a:stretch/>
        </xdr:blipFill>
        <xdr:spPr>
          <a:xfrm>
            <a:off x="1206720" y="5905440"/>
            <a:ext cx="1996560" cy="257040"/>
          </a:xfrm>
          <a:prstGeom prst="rect">
            <a:avLst/>
          </a:prstGeom>
          <a:ln>
            <a:noFill/>
          </a:ln>
        </xdr:spPr>
      </xdr:pic>
    </xdr:grpSp>
    <xdr:clientData fLocksWithSheet="0"/>
  </xdr:oneCellAnchor>
  <xdr:oneCellAnchor>
    <xdr:from>
      <xdr:col>1</xdr:col>
      <xdr:colOff>219075</xdr:colOff>
      <xdr:row>12</xdr:row>
      <xdr:rowOff>133350</xdr:rowOff>
    </xdr:from>
    <xdr:ext cx="1571625" cy="4857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552450</xdr:colOff>
      <xdr:row>15</xdr:row>
      <xdr:rowOff>38100</xdr:rowOff>
    </xdr:from>
    <xdr:ext cx="3076575" cy="10668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76225" cy="2381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295400" cy="128587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6276975" cy="2981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57150</xdr:colOff>
      <xdr:row>13</xdr:row>
      <xdr:rowOff>0</xdr:rowOff>
    </xdr:from>
    <xdr:ext cx="7086600" cy="29813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29</xdr:row>
      <xdr:rowOff>0</xdr:rowOff>
    </xdr:from>
    <xdr:ext cx="4524375" cy="29813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57150</xdr:colOff>
      <xdr:row>29</xdr:row>
      <xdr:rowOff>0</xdr:rowOff>
    </xdr:from>
    <xdr:ext cx="4457700" cy="29813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57150</xdr:colOff>
      <xdr:row>29</xdr:row>
      <xdr:rowOff>0</xdr:rowOff>
    </xdr:from>
    <xdr:ext cx="4457700" cy="29813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0</xdr:colOff>
      <xdr:row>45</xdr:row>
      <xdr:rowOff>0</xdr:rowOff>
    </xdr:from>
    <xdr:ext cx="4524375" cy="29622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1276350" cy="4286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b="0" l="0" r="0" t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b="0" l="0" r="0" t="0"/>
        </a:gradFill>
      </a:fillStyleLst>
      <a:lnStyleLst>
        <a:ln cap="flat" cmpd="sng" w="12700" algn="ctr">
          <a:prstDash val="solid"/>
          <a:miter lim="800000"/>
        </a:ln>
        <a:ln cap="flat" cmpd="sng" w="19050" algn="ctr">
          <a:prstDash val="solid"/>
          <a:miter lim="800000"/>
        </a:ln>
        <a:ln cap="flat" cmpd="sng" w="25400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AEC"/>
    <pageSetUpPr/>
  </sheetPr>
  <sheetViews>
    <sheetView showGridLines="0" workbookViewId="0"/>
  </sheetViews>
  <sheetFormatPr customHeight="1" defaultColWidth="12.63" defaultRowHeight="15.0"/>
  <cols>
    <col customWidth="1" min="1" max="8" width="8.5"/>
    <col customWidth="1" min="9" max="9" width="3.63"/>
    <col customWidth="1" min="10" max="16" width="8.5"/>
  </cols>
  <sheetData>
    <row r="3" ht="20.25" customHeight="1">
      <c r="B3" s="1" t="s">
        <v>0</v>
      </c>
      <c r="C3" s="1"/>
      <c r="D3" s="1"/>
      <c r="E3" s="1"/>
      <c r="F3" s="1"/>
      <c r="G3" s="1"/>
      <c r="H3" s="1"/>
    </row>
    <row r="4" ht="15.75" customHeight="1"/>
    <row r="5">
      <c r="B5" s="2" t="s">
        <v>1</v>
      </c>
      <c r="C5" s="3" t="s">
        <v>2</v>
      </c>
      <c r="E5" s="4" t="s">
        <v>3</v>
      </c>
      <c r="F5" s="3" t="s">
        <v>4</v>
      </c>
    </row>
    <row r="6">
      <c r="B6" s="5" t="s">
        <v>5</v>
      </c>
      <c r="C6" s="3" t="s">
        <v>2</v>
      </c>
    </row>
    <row r="7">
      <c r="B7" s="6" t="s">
        <v>6</v>
      </c>
      <c r="C7" s="3" t="s">
        <v>7</v>
      </c>
    </row>
    <row r="8">
      <c r="B8" s="7" t="s">
        <v>8</v>
      </c>
      <c r="C8" s="3" t="s">
        <v>7</v>
      </c>
    </row>
    <row r="12" ht="20.25" customHeigh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ht="15.75" customHeight="1">
      <c r="B13" s="8"/>
      <c r="C13" s="8"/>
      <c r="D13" s="8"/>
      <c r="E13" s="8"/>
      <c r="F13" s="8"/>
      <c r="G13" s="8"/>
      <c r="H13" s="8"/>
    </row>
    <row r="14">
      <c r="B14" s="8"/>
      <c r="C14" s="8"/>
      <c r="D14" s="8"/>
      <c r="E14" s="8"/>
      <c r="F14" s="8"/>
      <c r="G14" s="8"/>
      <c r="H14" s="8"/>
    </row>
    <row r="15">
      <c r="B15" s="8"/>
      <c r="C15" s="8"/>
      <c r="D15" s="8"/>
      <c r="E15" s="8"/>
      <c r="F15" s="8"/>
      <c r="G15" s="8"/>
      <c r="H15" s="8"/>
    </row>
    <row r="16">
      <c r="B16" s="8"/>
      <c r="C16" s="8"/>
      <c r="D16" s="8"/>
      <c r="E16" s="8"/>
      <c r="F16" s="8"/>
      <c r="G16" s="8"/>
      <c r="H16" s="8"/>
    </row>
    <row r="17">
      <c r="B17" s="8"/>
      <c r="C17" s="8"/>
      <c r="D17" s="8"/>
      <c r="E17" s="8"/>
      <c r="F17" s="8"/>
      <c r="G17" s="8"/>
      <c r="H17" s="8"/>
    </row>
    <row r="18">
      <c r="B18" s="8"/>
      <c r="C18" s="8"/>
      <c r="D18" s="8"/>
      <c r="E18" s="8"/>
      <c r="F18" s="8"/>
      <c r="G18" s="8"/>
      <c r="H18" s="8"/>
    </row>
    <row r="19">
      <c r="B19" s="8"/>
      <c r="C19" s="8"/>
      <c r="D19" s="8"/>
      <c r="E19" s="8"/>
      <c r="F19" s="8"/>
      <c r="G19" s="8"/>
      <c r="H19" s="8"/>
    </row>
    <row r="20">
      <c r="B20" s="8"/>
      <c r="C20" s="8"/>
      <c r="D20" s="8"/>
      <c r="E20" s="8"/>
      <c r="F20" s="8"/>
      <c r="G20" s="8"/>
      <c r="H20" s="8"/>
    </row>
    <row r="21" ht="15.75" customHeight="1">
      <c r="B21" s="8"/>
      <c r="C21" s="8"/>
      <c r="D21" s="8"/>
      <c r="E21" s="8"/>
      <c r="F21" s="8"/>
      <c r="G21" s="8"/>
      <c r="H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AEC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8.88"/>
    <col customWidth="1" min="3" max="3" width="9.38"/>
    <col customWidth="1" min="4" max="4" width="14.63"/>
    <col customWidth="1" min="5" max="5" width="18.0"/>
    <col customWidth="1" min="6" max="6" width="14.75"/>
    <col customWidth="1" min="7" max="7" width="22.0"/>
    <col customWidth="1" min="8" max="9" width="20.63"/>
    <col customWidth="1" min="10" max="10" width="16.75"/>
    <col customWidth="1" min="11" max="11" width="21.25"/>
    <col customWidth="1" min="12" max="12" width="12.75"/>
    <col customWidth="1" min="13" max="13" width="10.63"/>
  </cols>
  <sheetData>
    <row r="1" ht="30.0" customHeight="1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ht="16.5" customHeight="1">
      <c r="A2" s="10">
        <v>3231.0</v>
      </c>
      <c r="B2" s="10" t="s">
        <v>24</v>
      </c>
      <c r="C2" s="10" t="s">
        <v>25</v>
      </c>
      <c r="D2" s="11">
        <v>45292.0</v>
      </c>
      <c r="E2" s="10" t="s">
        <v>26</v>
      </c>
      <c r="F2" s="12">
        <v>15.0</v>
      </c>
      <c r="G2" s="10" t="s">
        <v>27</v>
      </c>
      <c r="H2" s="10" t="s">
        <v>26</v>
      </c>
      <c r="I2" s="12">
        <v>30.0</v>
      </c>
      <c r="J2" s="10" t="s">
        <v>26</v>
      </c>
      <c r="K2" s="12">
        <v>20.0</v>
      </c>
      <c r="L2" s="12">
        <v>5.0</v>
      </c>
      <c r="M2" s="12">
        <v>60.0</v>
      </c>
    </row>
    <row r="3" ht="16.5" hidden="1" customHeight="1">
      <c r="A3" s="10">
        <v>3232.0</v>
      </c>
      <c r="B3" s="10" t="s">
        <v>28</v>
      </c>
      <c r="C3" s="10" t="s">
        <v>29</v>
      </c>
      <c r="D3" s="11">
        <v>45306.0</v>
      </c>
      <c r="E3" s="10" t="s">
        <v>30</v>
      </c>
      <c r="F3" s="12">
        <v>5.0</v>
      </c>
      <c r="G3" s="10" t="s">
        <v>31</v>
      </c>
      <c r="H3" s="10" t="s">
        <v>30</v>
      </c>
      <c r="I3" s="12" t="s">
        <v>32</v>
      </c>
      <c r="J3" s="10" t="s">
        <v>30</v>
      </c>
      <c r="K3" s="12">
        <v>0.0</v>
      </c>
      <c r="L3" s="12">
        <v>0.0</v>
      </c>
      <c r="M3" s="12">
        <v>5.0</v>
      </c>
    </row>
    <row r="4" ht="16.5" hidden="1" customHeight="1">
      <c r="A4" s="10">
        <v>3233.0</v>
      </c>
      <c r="B4" s="10" t="s">
        <v>33</v>
      </c>
      <c r="C4" s="10" t="s">
        <v>34</v>
      </c>
      <c r="D4" s="11">
        <v>45332.0</v>
      </c>
      <c r="E4" s="10" t="s">
        <v>26</v>
      </c>
      <c r="F4" s="12">
        <v>10.0</v>
      </c>
      <c r="G4" s="10" t="s">
        <v>35</v>
      </c>
      <c r="H4" s="10" t="s">
        <v>30</v>
      </c>
      <c r="I4" s="12" t="s">
        <v>32</v>
      </c>
      <c r="J4" s="10" t="s">
        <v>26</v>
      </c>
      <c r="K4" s="12">
        <v>20.0</v>
      </c>
      <c r="L4" s="12">
        <v>10.0</v>
      </c>
      <c r="M4" s="12">
        <v>20.0</v>
      </c>
    </row>
    <row r="5" ht="16.5" customHeight="1">
      <c r="A5" s="10">
        <v>3234.0</v>
      </c>
      <c r="B5" s="10" t="s">
        <v>36</v>
      </c>
      <c r="C5" s="10" t="s">
        <v>25</v>
      </c>
      <c r="D5" s="11">
        <v>45342.0</v>
      </c>
      <c r="E5" s="10" t="s">
        <v>30</v>
      </c>
      <c r="F5" s="12">
        <v>15.0</v>
      </c>
      <c r="G5" s="10" t="s">
        <v>27</v>
      </c>
      <c r="H5" s="10" t="s">
        <v>26</v>
      </c>
      <c r="I5" s="12">
        <v>30.0</v>
      </c>
      <c r="J5" s="10" t="s">
        <v>26</v>
      </c>
      <c r="K5" s="12">
        <v>20.0</v>
      </c>
      <c r="L5" s="12">
        <v>3.0</v>
      </c>
      <c r="M5" s="12">
        <v>62.0</v>
      </c>
    </row>
    <row r="6" ht="16.5" hidden="1" customHeight="1">
      <c r="A6" s="10">
        <v>3235.0</v>
      </c>
      <c r="B6" s="10" t="s">
        <v>37</v>
      </c>
      <c r="C6" s="10" t="s">
        <v>29</v>
      </c>
      <c r="D6" s="11">
        <v>45356.0</v>
      </c>
      <c r="E6" s="10" t="s">
        <v>26</v>
      </c>
      <c r="F6" s="12">
        <v>5.0</v>
      </c>
      <c r="G6" s="10" t="s">
        <v>27</v>
      </c>
      <c r="H6" s="10" t="s">
        <v>30</v>
      </c>
      <c r="I6" s="12" t="s">
        <v>32</v>
      </c>
      <c r="J6" s="10" t="s">
        <v>30</v>
      </c>
      <c r="K6" s="12">
        <v>0.0</v>
      </c>
      <c r="L6" s="12">
        <v>1.0</v>
      </c>
      <c r="M6" s="12">
        <v>4.0</v>
      </c>
    </row>
    <row r="7" ht="16.5" hidden="1" customHeight="1">
      <c r="A7" s="10">
        <v>3236.0</v>
      </c>
      <c r="B7" s="10" t="s">
        <v>38</v>
      </c>
      <c r="C7" s="10" t="s">
        <v>34</v>
      </c>
      <c r="D7" s="11">
        <v>45353.0</v>
      </c>
      <c r="E7" s="10" t="s">
        <v>30</v>
      </c>
      <c r="F7" s="12">
        <v>10.0</v>
      </c>
      <c r="G7" s="10" t="s">
        <v>27</v>
      </c>
      <c r="H7" s="10" t="s">
        <v>30</v>
      </c>
      <c r="I7" s="12" t="s">
        <v>32</v>
      </c>
      <c r="J7" s="10" t="s">
        <v>26</v>
      </c>
      <c r="K7" s="12">
        <v>20.0</v>
      </c>
      <c r="L7" s="12">
        <v>2.0</v>
      </c>
      <c r="M7" s="12">
        <v>28.0</v>
      </c>
    </row>
    <row r="8" ht="16.5" customHeight="1">
      <c r="A8" s="10">
        <v>3237.0</v>
      </c>
      <c r="B8" s="10" t="s">
        <v>39</v>
      </c>
      <c r="C8" s="10" t="s">
        <v>25</v>
      </c>
      <c r="D8" s="11">
        <v>45354.0</v>
      </c>
      <c r="E8" s="10" t="s">
        <v>26</v>
      </c>
      <c r="F8" s="12">
        <v>15.0</v>
      </c>
      <c r="G8" s="10" t="s">
        <v>35</v>
      </c>
      <c r="H8" s="10" t="s">
        <v>26</v>
      </c>
      <c r="I8" s="12">
        <v>30.0</v>
      </c>
      <c r="J8" s="10" t="s">
        <v>26</v>
      </c>
      <c r="K8" s="12">
        <v>20.0</v>
      </c>
      <c r="L8" s="12">
        <v>10.0</v>
      </c>
      <c r="M8" s="12">
        <v>55.0</v>
      </c>
    </row>
    <row r="9" ht="16.5" hidden="1" customHeight="1">
      <c r="A9" s="10">
        <v>3238.0</v>
      </c>
      <c r="B9" s="10" t="s">
        <v>40</v>
      </c>
      <c r="C9" s="10" t="s">
        <v>29</v>
      </c>
      <c r="D9" s="11">
        <v>45355.0</v>
      </c>
      <c r="E9" s="10" t="s">
        <v>26</v>
      </c>
      <c r="F9" s="12">
        <v>5.0</v>
      </c>
      <c r="G9" s="10" t="s">
        <v>31</v>
      </c>
      <c r="H9" s="10" t="s">
        <v>30</v>
      </c>
      <c r="I9" s="12" t="s">
        <v>32</v>
      </c>
      <c r="J9" s="10" t="s">
        <v>30</v>
      </c>
      <c r="K9" s="12">
        <v>0.0</v>
      </c>
      <c r="L9" s="12">
        <v>0.0</v>
      </c>
      <c r="M9" s="12">
        <v>5.0</v>
      </c>
    </row>
    <row r="10" ht="16.5" customHeight="1">
      <c r="A10" s="10">
        <v>3239.0</v>
      </c>
      <c r="B10" s="10" t="s">
        <v>41</v>
      </c>
      <c r="C10" s="10" t="s">
        <v>25</v>
      </c>
      <c r="D10" s="11">
        <v>45356.0</v>
      </c>
      <c r="E10" s="10" t="s">
        <v>30</v>
      </c>
      <c r="F10" s="12">
        <v>15.0</v>
      </c>
      <c r="G10" s="10" t="s">
        <v>27</v>
      </c>
      <c r="H10" s="10" t="s">
        <v>26</v>
      </c>
      <c r="I10" s="12">
        <v>30.0</v>
      </c>
      <c r="J10" s="10" t="s">
        <v>26</v>
      </c>
      <c r="K10" s="12">
        <v>20.0</v>
      </c>
      <c r="L10" s="12">
        <v>5.0</v>
      </c>
      <c r="M10" s="12">
        <v>60.0</v>
      </c>
    </row>
    <row r="11" ht="16.5" hidden="1" customHeight="1">
      <c r="A11" s="10">
        <v>3240.0</v>
      </c>
      <c r="B11" s="10" t="s">
        <v>42</v>
      </c>
      <c r="C11" s="10" t="s">
        <v>34</v>
      </c>
      <c r="D11" s="11">
        <v>45357.0</v>
      </c>
      <c r="E11" s="10" t="s">
        <v>26</v>
      </c>
      <c r="F11" s="12">
        <v>10.0</v>
      </c>
      <c r="G11" s="10" t="s">
        <v>35</v>
      </c>
      <c r="H11" s="10" t="s">
        <v>30</v>
      </c>
      <c r="I11" s="12" t="s">
        <v>32</v>
      </c>
      <c r="J11" s="10" t="s">
        <v>26</v>
      </c>
      <c r="K11" s="12">
        <v>20.0</v>
      </c>
      <c r="L11" s="12">
        <v>15.0</v>
      </c>
      <c r="M11" s="12">
        <v>15.0</v>
      </c>
    </row>
    <row r="12" ht="16.5" hidden="1" customHeight="1">
      <c r="A12" s="10">
        <v>3241.0</v>
      </c>
      <c r="B12" s="10" t="s">
        <v>43</v>
      </c>
      <c r="C12" s="10" t="s">
        <v>29</v>
      </c>
      <c r="D12" s="11">
        <v>45358.0</v>
      </c>
      <c r="E12" s="10" t="s">
        <v>30</v>
      </c>
      <c r="F12" s="12">
        <v>5.0</v>
      </c>
      <c r="G12" s="10" t="s">
        <v>27</v>
      </c>
      <c r="H12" s="10" t="s">
        <v>30</v>
      </c>
      <c r="I12" s="12" t="s">
        <v>32</v>
      </c>
      <c r="J12" s="10" t="s">
        <v>30</v>
      </c>
      <c r="K12" s="12">
        <v>0.0</v>
      </c>
      <c r="L12" s="12">
        <v>1.0</v>
      </c>
      <c r="M12" s="12">
        <v>4.0</v>
      </c>
    </row>
    <row r="13" ht="16.5" customHeight="1">
      <c r="A13" s="10">
        <v>3242.0</v>
      </c>
      <c r="B13" s="10" t="s">
        <v>44</v>
      </c>
      <c r="C13" s="10" t="s">
        <v>25</v>
      </c>
      <c r="D13" s="11">
        <v>45359.0</v>
      </c>
      <c r="E13" s="10" t="s">
        <v>26</v>
      </c>
      <c r="F13" s="12">
        <v>15.0</v>
      </c>
      <c r="G13" s="10" t="s">
        <v>31</v>
      </c>
      <c r="H13" s="10" t="s">
        <v>26</v>
      </c>
      <c r="I13" s="12">
        <v>30.0</v>
      </c>
      <c r="J13" s="10" t="s">
        <v>26</v>
      </c>
      <c r="K13" s="12">
        <v>20.0</v>
      </c>
      <c r="L13" s="12">
        <v>20.0</v>
      </c>
      <c r="M13" s="12">
        <v>45.0</v>
      </c>
    </row>
    <row r="14" ht="16.5" hidden="1" customHeight="1">
      <c r="A14" s="10">
        <v>3243.0</v>
      </c>
      <c r="B14" s="10" t="s">
        <v>45</v>
      </c>
      <c r="C14" s="10" t="s">
        <v>34</v>
      </c>
      <c r="D14" s="11">
        <v>45360.0</v>
      </c>
      <c r="E14" s="10" t="s">
        <v>30</v>
      </c>
      <c r="F14" s="12">
        <v>10.0</v>
      </c>
      <c r="G14" s="10" t="s">
        <v>27</v>
      </c>
      <c r="H14" s="10" t="s">
        <v>30</v>
      </c>
      <c r="I14" s="12" t="s">
        <v>32</v>
      </c>
      <c r="J14" s="10" t="s">
        <v>26</v>
      </c>
      <c r="K14" s="12">
        <v>20.0</v>
      </c>
      <c r="L14" s="12">
        <v>10.0</v>
      </c>
      <c r="M14" s="12">
        <v>20.0</v>
      </c>
    </row>
    <row r="15" ht="16.5" hidden="1" customHeight="1">
      <c r="A15" s="10">
        <v>3244.0</v>
      </c>
      <c r="B15" s="10" t="s">
        <v>46</v>
      </c>
      <c r="C15" s="10" t="s">
        <v>29</v>
      </c>
      <c r="D15" s="11">
        <v>45361.0</v>
      </c>
      <c r="E15" s="10" t="s">
        <v>26</v>
      </c>
      <c r="F15" s="12">
        <v>5.0</v>
      </c>
      <c r="G15" s="10" t="s">
        <v>35</v>
      </c>
      <c r="H15" s="10" t="s">
        <v>30</v>
      </c>
      <c r="I15" s="12" t="s">
        <v>32</v>
      </c>
      <c r="J15" s="10" t="s">
        <v>30</v>
      </c>
      <c r="K15" s="12">
        <v>0.0</v>
      </c>
      <c r="L15" s="12">
        <v>0.0</v>
      </c>
      <c r="M15" s="12">
        <v>5.0</v>
      </c>
    </row>
    <row r="16" ht="16.5" customHeight="1">
      <c r="A16" s="10">
        <v>3245.0</v>
      </c>
      <c r="B16" s="10" t="s">
        <v>47</v>
      </c>
      <c r="C16" s="10" t="s">
        <v>25</v>
      </c>
      <c r="D16" s="11">
        <v>45362.0</v>
      </c>
      <c r="E16" s="10" t="s">
        <v>30</v>
      </c>
      <c r="F16" s="12">
        <v>15.0</v>
      </c>
      <c r="G16" s="10" t="s">
        <v>27</v>
      </c>
      <c r="H16" s="10" t="s">
        <v>26</v>
      </c>
      <c r="I16" s="12">
        <v>30.0</v>
      </c>
      <c r="J16" s="10" t="s">
        <v>26</v>
      </c>
      <c r="K16" s="12">
        <v>20.0</v>
      </c>
      <c r="L16" s="12">
        <v>8.0</v>
      </c>
      <c r="M16" s="12">
        <v>57.0</v>
      </c>
    </row>
    <row r="17" ht="16.5" hidden="1" customHeight="1">
      <c r="A17" s="10">
        <v>3246.0</v>
      </c>
      <c r="B17" s="10" t="s">
        <v>48</v>
      </c>
      <c r="C17" s="10" t="s">
        <v>34</v>
      </c>
      <c r="D17" s="11">
        <v>45363.0</v>
      </c>
      <c r="E17" s="10" t="s">
        <v>26</v>
      </c>
      <c r="F17" s="12">
        <v>10.0</v>
      </c>
      <c r="G17" s="10" t="s">
        <v>31</v>
      </c>
      <c r="H17" s="10" t="s">
        <v>30</v>
      </c>
      <c r="I17" s="12" t="s">
        <v>32</v>
      </c>
      <c r="J17" s="10" t="s">
        <v>26</v>
      </c>
      <c r="K17" s="12">
        <v>20.0</v>
      </c>
      <c r="L17" s="12">
        <v>12.0</v>
      </c>
      <c r="M17" s="12">
        <v>18.0</v>
      </c>
    </row>
    <row r="18" ht="16.5" hidden="1" customHeight="1">
      <c r="A18" s="10">
        <v>3247.0</v>
      </c>
      <c r="B18" s="10" t="s">
        <v>49</v>
      </c>
      <c r="C18" s="10" t="s">
        <v>29</v>
      </c>
      <c r="D18" s="11">
        <v>45364.0</v>
      </c>
      <c r="E18" s="10" t="s">
        <v>30</v>
      </c>
      <c r="F18" s="12">
        <v>5.0</v>
      </c>
      <c r="G18" s="10" t="s">
        <v>27</v>
      </c>
      <c r="H18" s="10" t="s">
        <v>30</v>
      </c>
      <c r="I18" s="12" t="s">
        <v>32</v>
      </c>
      <c r="J18" s="10" t="s">
        <v>30</v>
      </c>
      <c r="K18" s="12">
        <v>0.0</v>
      </c>
      <c r="L18" s="12">
        <v>2.0</v>
      </c>
      <c r="M18" s="12">
        <v>3.0</v>
      </c>
    </row>
    <row r="19" ht="16.5" customHeight="1">
      <c r="A19" s="10">
        <v>3248.0</v>
      </c>
      <c r="B19" s="10" t="s">
        <v>50</v>
      </c>
      <c r="C19" s="10" t="s">
        <v>25</v>
      </c>
      <c r="D19" s="11">
        <v>45365.0</v>
      </c>
      <c r="E19" s="10" t="s">
        <v>26</v>
      </c>
      <c r="F19" s="12">
        <v>15.0</v>
      </c>
      <c r="G19" s="10" t="s">
        <v>35</v>
      </c>
      <c r="H19" s="10" t="s">
        <v>26</v>
      </c>
      <c r="I19" s="12">
        <v>30.0</v>
      </c>
      <c r="J19" s="10" t="s">
        <v>26</v>
      </c>
      <c r="K19" s="12">
        <v>20.0</v>
      </c>
      <c r="L19" s="12">
        <v>7.0</v>
      </c>
      <c r="M19" s="12">
        <v>58.0</v>
      </c>
    </row>
    <row r="20" ht="16.5" hidden="1" customHeight="1">
      <c r="A20" s="10">
        <v>3249.0</v>
      </c>
      <c r="B20" s="10" t="s">
        <v>51</v>
      </c>
      <c r="C20" s="10" t="s">
        <v>34</v>
      </c>
      <c r="D20" s="11">
        <v>45366.0</v>
      </c>
      <c r="E20" s="10" t="s">
        <v>30</v>
      </c>
      <c r="F20" s="12">
        <v>10.0</v>
      </c>
      <c r="G20" s="10" t="s">
        <v>27</v>
      </c>
      <c r="H20" s="10" t="s">
        <v>30</v>
      </c>
      <c r="I20" s="12" t="s">
        <v>32</v>
      </c>
      <c r="J20" s="10" t="s">
        <v>26</v>
      </c>
      <c r="K20" s="12">
        <v>20.0</v>
      </c>
      <c r="L20" s="12">
        <v>5.0</v>
      </c>
      <c r="M20" s="12">
        <v>25.0</v>
      </c>
    </row>
    <row r="21" ht="16.5" hidden="1" customHeight="1">
      <c r="A21" s="10">
        <v>3250.0</v>
      </c>
      <c r="B21" s="10" t="s">
        <v>52</v>
      </c>
      <c r="C21" s="10" t="s">
        <v>29</v>
      </c>
      <c r="D21" s="11">
        <v>45367.0</v>
      </c>
      <c r="E21" s="10" t="s">
        <v>26</v>
      </c>
      <c r="F21" s="12">
        <v>5.0</v>
      </c>
      <c r="G21" s="10" t="s">
        <v>31</v>
      </c>
      <c r="H21" s="10" t="s">
        <v>30</v>
      </c>
      <c r="I21" s="12" t="s">
        <v>32</v>
      </c>
      <c r="J21" s="10" t="s">
        <v>30</v>
      </c>
      <c r="K21" s="12">
        <v>0.0</v>
      </c>
      <c r="L21" s="12">
        <v>0.0</v>
      </c>
      <c r="M21" s="12">
        <v>5.0</v>
      </c>
    </row>
    <row r="22" ht="16.5" customHeight="1">
      <c r="A22" s="10">
        <v>3251.0</v>
      </c>
      <c r="B22" s="10" t="s">
        <v>53</v>
      </c>
      <c r="C22" s="10" t="s">
        <v>25</v>
      </c>
      <c r="D22" s="11">
        <v>45368.0</v>
      </c>
      <c r="E22" s="10" t="s">
        <v>30</v>
      </c>
      <c r="F22" s="12">
        <v>15.0</v>
      </c>
      <c r="G22" s="10" t="s">
        <v>27</v>
      </c>
      <c r="H22" s="10" t="s">
        <v>26</v>
      </c>
      <c r="I22" s="12">
        <v>30.0</v>
      </c>
      <c r="J22" s="10" t="s">
        <v>26</v>
      </c>
      <c r="K22" s="12">
        <v>20.0</v>
      </c>
      <c r="L22" s="12">
        <v>3.0</v>
      </c>
      <c r="M22" s="12">
        <v>62.0</v>
      </c>
    </row>
    <row r="23" ht="16.5" hidden="1" customHeight="1">
      <c r="A23" s="10">
        <v>3252.0</v>
      </c>
      <c r="B23" s="10" t="s">
        <v>54</v>
      </c>
      <c r="C23" s="10" t="s">
        <v>34</v>
      </c>
      <c r="D23" s="11">
        <v>45369.0</v>
      </c>
      <c r="E23" s="10" t="s">
        <v>26</v>
      </c>
      <c r="F23" s="12">
        <v>10.0</v>
      </c>
      <c r="G23" s="10" t="s">
        <v>35</v>
      </c>
      <c r="H23" s="10" t="s">
        <v>30</v>
      </c>
      <c r="I23" s="12" t="s">
        <v>32</v>
      </c>
      <c r="J23" s="10" t="s">
        <v>26</v>
      </c>
      <c r="K23" s="12">
        <v>20.0</v>
      </c>
      <c r="L23" s="12">
        <v>15.0</v>
      </c>
      <c r="M23" s="12">
        <v>15.0</v>
      </c>
    </row>
    <row r="24" ht="16.5" hidden="1" customHeight="1">
      <c r="A24" s="10">
        <v>3253.0</v>
      </c>
      <c r="B24" s="10" t="s">
        <v>55</v>
      </c>
      <c r="C24" s="10" t="s">
        <v>29</v>
      </c>
      <c r="D24" s="11">
        <v>45370.0</v>
      </c>
      <c r="E24" s="10" t="s">
        <v>30</v>
      </c>
      <c r="F24" s="12">
        <v>5.0</v>
      </c>
      <c r="G24" s="10" t="s">
        <v>27</v>
      </c>
      <c r="H24" s="10" t="s">
        <v>30</v>
      </c>
      <c r="I24" s="12" t="s">
        <v>32</v>
      </c>
      <c r="J24" s="10" t="s">
        <v>30</v>
      </c>
      <c r="K24" s="12">
        <v>0.0</v>
      </c>
      <c r="L24" s="12">
        <v>1.0</v>
      </c>
      <c r="M24" s="12">
        <v>4.0</v>
      </c>
    </row>
    <row r="25" ht="16.5" customHeight="1">
      <c r="A25" s="10">
        <v>3254.0</v>
      </c>
      <c r="B25" s="10" t="s">
        <v>56</v>
      </c>
      <c r="C25" s="10" t="s">
        <v>25</v>
      </c>
      <c r="D25" s="11">
        <v>45371.0</v>
      </c>
      <c r="E25" s="10" t="s">
        <v>26</v>
      </c>
      <c r="F25" s="12">
        <v>15.0</v>
      </c>
      <c r="G25" s="10" t="s">
        <v>31</v>
      </c>
      <c r="H25" s="10" t="s">
        <v>26</v>
      </c>
      <c r="I25" s="12">
        <v>30.0</v>
      </c>
      <c r="J25" s="10" t="s">
        <v>26</v>
      </c>
      <c r="K25" s="12">
        <v>20.0</v>
      </c>
      <c r="L25" s="12">
        <v>20.0</v>
      </c>
      <c r="M25" s="12">
        <v>45.0</v>
      </c>
    </row>
    <row r="26" ht="16.5" hidden="1" customHeight="1">
      <c r="A26" s="10">
        <v>3255.0</v>
      </c>
      <c r="B26" s="10" t="s">
        <v>57</v>
      </c>
      <c r="C26" s="10" t="s">
        <v>34</v>
      </c>
      <c r="D26" s="11">
        <v>45372.0</v>
      </c>
      <c r="E26" s="10" t="s">
        <v>30</v>
      </c>
      <c r="F26" s="12">
        <v>10.0</v>
      </c>
      <c r="G26" s="10" t="s">
        <v>27</v>
      </c>
      <c r="H26" s="10" t="s">
        <v>30</v>
      </c>
      <c r="I26" s="12" t="s">
        <v>32</v>
      </c>
      <c r="J26" s="10" t="s">
        <v>26</v>
      </c>
      <c r="K26" s="12">
        <v>20.0</v>
      </c>
      <c r="L26" s="12">
        <v>10.0</v>
      </c>
      <c r="M26" s="12">
        <v>20.0</v>
      </c>
    </row>
    <row r="27" ht="16.5" hidden="1" customHeight="1">
      <c r="A27" s="10">
        <v>3256.0</v>
      </c>
      <c r="B27" s="10" t="s">
        <v>58</v>
      </c>
      <c r="C27" s="10" t="s">
        <v>29</v>
      </c>
      <c r="D27" s="11">
        <v>45373.0</v>
      </c>
      <c r="E27" s="10" t="s">
        <v>26</v>
      </c>
      <c r="F27" s="12">
        <v>5.0</v>
      </c>
      <c r="G27" s="10" t="s">
        <v>35</v>
      </c>
      <c r="H27" s="10" t="s">
        <v>30</v>
      </c>
      <c r="I27" s="12" t="s">
        <v>32</v>
      </c>
      <c r="J27" s="10" t="s">
        <v>30</v>
      </c>
      <c r="K27" s="12">
        <v>0.0</v>
      </c>
      <c r="L27" s="12">
        <v>0.0</v>
      </c>
      <c r="M27" s="12">
        <v>5.0</v>
      </c>
    </row>
    <row r="28" ht="16.5" customHeight="1">
      <c r="A28" s="10">
        <v>3257.0</v>
      </c>
      <c r="B28" s="10" t="s">
        <v>59</v>
      </c>
      <c r="C28" s="10" t="s">
        <v>25</v>
      </c>
      <c r="D28" s="11">
        <v>45374.0</v>
      </c>
      <c r="E28" s="10" t="s">
        <v>30</v>
      </c>
      <c r="F28" s="12">
        <v>15.0</v>
      </c>
      <c r="G28" s="10" t="s">
        <v>27</v>
      </c>
      <c r="H28" s="10" t="s">
        <v>26</v>
      </c>
      <c r="I28" s="12">
        <v>30.0</v>
      </c>
      <c r="J28" s="10" t="s">
        <v>26</v>
      </c>
      <c r="K28" s="12">
        <v>20.0</v>
      </c>
      <c r="L28" s="12">
        <v>5.0</v>
      </c>
      <c r="M28" s="12">
        <v>60.0</v>
      </c>
    </row>
    <row r="29" ht="16.5" hidden="1" customHeight="1">
      <c r="A29" s="10">
        <v>3258.0</v>
      </c>
      <c r="B29" s="10" t="s">
        <v>60</v>
      </c>
      <c r="C29" s="10" t="s">
        <v>34</v>
      </c>
      <c r="D29" s="11">
        <v>45375.0</v>
      </c>
      <c r="E29" s="10" t="s">
        <v>26</v>
      </c>
      <c r="F29" s="12">
        <v>10.0</v>
      </c>
      <c r="G29" s="10" t="s">
        <v>31</v>
      </c>
      <c r="H29" s="10" t="s">
        <v>30</v>
      </c>
      <c r="I29" s="12" t="s">
        <v>32</v>
      </c>
      <c r="J29" s="10" t="s">
        <v>26</v>
      </c>
      <c r="K29" s="12">
        <v>20.0</v>
      </c>
      <c r="L29" s="12">
        <v>15.0</v>
      </c>
      <c r="M29" s="12">
        <v>15.0</v>
      </c>
    </row>
    <row r="30" ht="16.5" hidden="1" customHeight="1">
      <c r="A30" s="10">
        <v>3259.0</v>
      </c>
      <c r="B30" s="10" t="s">
        <v>61</v>
      </c>
      <c r="C30" s="10" t="s">
        <v>29</v>
      </c>
      <c r="D30" s="11">
        <v>45376.0</v>
      </c>
      <c r="E30" s="10" t="s">
        <v>30</v>
      </c>
      <c r="F30" s="12">
        <v>5.0</v>
      </c>
      <c r="G30" s="10" t="s">
        <v>27</v>
      </c>
      <c r="H30" s="10" t="s">
        <v>30</v>
      </c>
      <c r="I30" s="12" t="s">
        <v>32</v>
      </c>
      <c r="J30" s="10" t="s">
        <v>30</v>
      </c>
      <c r="K30" s="12">
        <v>0.0</v>
      </c>
      <c r="L30" s="12">
        <v>1.0</v>
      </c>
      <c r="M30" s="12">
        <v>4.0</v>
      </c>
    </row>
    <row r="31" ht="16.5" customHeight="1">
      <c r="A31" s="10">
        <v>3260.0</v>
      </c>
      <c r="B31" s="10" t="s">
        <v>62</v>
      </c>
      <c r="C31" s="10" t="s">
        <v>25</v>
      </c>
      <c r="D31" s="11">
        <v>45377.0</v>
      </c>
      <c r="E31" s="10" t="s">
        <v>26</v>
      </c>
      <c r="F31" s="12">
        <v>15.0</v>
      </c>
      <c r="G31" s="10" t="s">
        <v>35</v>
      </c>
      <c r="H31" s="10" t="s">
        <v>26</v>
      </c>
      <c r="I31" s="12">
        <v>30.0</v>
      </c>
      <c r="J31" s="10" t="s">
        <v>26</v>
      </c>
      <c r="K31" s="12">
        <v>20.0</v>
      </c>
      <c r="L31" s="12">
        <v>7.0</v>
      </c>
      <c r="M31" s="12">
        <v>58.0</v>
      </c>
    </row>
    <row r="32" ht="16.5" hidden="1" customHeight="1">
      <c r="A32" s="10">
        <v>3261.0</v>
      </c>
      <c r="B32" s="10" t="s">
        <v>63</v>
      </c>
      <c r="C32" s="10" t="s">
        <v>34</v>
      </c>
      <c r="D32" s="11">
        <v>45378.0</v>
      </c>
      <c r="E32" s="10" t="s">
        <v>30</v>
      </c>
      <c r="F32" s="12">
        <v>10.0</v>
      </c>
      <c r="G32" s="10" t="s">
        <v>27</v>
      </c>
      <c r="H32" s="10" t="s">
        <v>30</v>
      </c>
      <c r="I32" s="12" t="s">
        <v>32</v>
      </c>
      <c r="J32" s="10" t="s">
        <v>26</v>
      </c>
      <c r="K32" s="12">
        <v>20.0</v>
      </c>
      <c r="L32" s="12">
        <v>10.0</v>
      </c>
      <c r="M32" s="12">
        <v>20.0</v>
      </c>
    </row>
    <row r="33" ht="16.5" hidden="1" customHeight="1">
      <c r="A33" s="10">
        <v>3262.0</v>
      </c>
      <c r="B33" s="10" t="s">
        <v>64</v>
      </c>
      <c r="C33" s="10" t="s">
        <v>29</v>
      </c>
      <c r="D33" s="11">
        <v>45379.0</v>
      </c>
      <c r="E33" s="10" t="s">
        <v>26</v>
      </c>
      <c r="F33" s="12">
        <v>5.0</v>
      </c>
      <c r="G33" s="10" t="s">
        <v>31</v>
      </c>
      <c r="H33" s="10" t="s">
        <v>30</v>
      </c>
      <c r="I33" s="12" t="s">
        <v>32</v>
      </c>
      <c r="J33" s="10" t="s">
        <v>30</v>
      </c>
      <c r="K33" s="12">
        <v>0.0</v>
      </c>
      <c r="L33" s="12">
        <v>0.0</v>
      </c>
      <c r="M33" s="12">
        <v>5.0</v>
      </c>
    </row>
    <row r="34" ht="16.5" customHeight="1">
      <c r="A34" s="10">
        <v>3263.0</v>
      </c>
      <c r="B34" s="10" t="s">
        <v>65</v>
      </c>
      <c r="C34" s="10" t="s">
        <v>25</v>
      </c>
      <c r="D34" s="11">
        <v>45380.0</v>
      </c>
      <c r="E34" s="10" t="s">
        <v>30</v>
      </c>
      <c r="F34" s="12">
        <v>15.0</v>
      </c>
      <c r="G34" s="10" t="s">
        <v>27</v>
      </c>
      <c r="H34" s="10" t="s">
        <v>26</v>
      </c>
      <c r="I34" s="12">
        <v>30.0</v>
      </c>
      <c r="J34" s="10" t="s">
        <v>26</v>
      </c>
      <c r="K34" s="12">
        <v>20.0</v>
      </c>
      <c r="L34" s="12">
        <v>3.0</v>
      </c>
      <c r="M34" s="12">
        <v>62.0</v>
      </c>
    </row>
    <row r="35" ht="16.5" hidden="1" customHeight="1">
      <c r="A35" s="10">
        <v>3264.0</v>
      </c>
      <c r="B35" s="10" t="s">
        <v>66</v>
      </c>
      <c r="C35" s="10" t="s">
        <v>34</v>
      </c>
      <c r="D35" s="11">
        <v>45381.0</v>
      </c>
      <c r="E35" s="10" t="s">
        <v>26</v>
      </c>
      <c r="F35" s="12">
        <v>10.0</v>
      </c>
      <c r="G35" s="10" t="s">
        <v>35</v>
      </c>
      <c r="H35" s="10" t="s">
        <v>30</v>
      </c>
      <c r="I35" s="12" t="s">
        <v>32</v>
      </c>
      <c r="J35" s="10" t="s">
        <v>26</v>
      </c>
      <c r="K35" s="12">
        <v>20.0</v>
      </c>
      <c r="L35" s="12">
        <v>15.0</v>
      </c>
      <c r="M35" s="12">
        <v>15.0</v>
      </c>
    </row>
    <row r="36" ht="16.5" hidden="1" customHeight="1">
      <c r="A36" s="10">
        <v>3265.0</v>
      </c>
      <c r="B36" s="10" t="s">
        <v>67</v>
      </c>
      <c r="C36" s="10" t="s">
        <v>29</v>
      </c>
      <c r="D36" s="11">
        <v>45382.0</v>
      </c>
      <c r="E36" s="10" t="s">
        <v>30</v>
      </c>
      <c r="F36" s="12">
        <v>5.0</v>
      </c>
      <c r="G36" s="10" t="s">
        <v>27</v>
      </c>
      <c r="H36" s="10" t="s">
        <v>30</v>
      </c>
      <c r="I36" s="12" t="s">
        <v>32</v>
      </c>
      <c r="J36" s="10" t="s">
        <v>30</v>
      </c>
      <c r="K36" s="12">
        <v>0.0</v>
      </c>
      <c r="L36" s="12">
        <v>1.0</v>
      </c>
      <c r="M36" s="12">
        <v>4.0</v>
      </c>
    </row>
    <row r="37" ht="16.5" hidden="1" customHeight="1">
      <c r="A37" s="10">
        <v>3266.0</v>
      </c>
      <c r="B37" s="10" t="s">
        <v>68</v>
      </c>
      <c r="C37" s="10" t="s">
        <v>29</v>
      </c>
      <c r="D37" s="11">
        <v>45383.0</v>
      </c>
      <c r="E37" s="10" t="s">
        <v>26</v>
      </c>
      <c r="F37" s="12">
        <v>5.0</v>
      </c>
      <c r="G37" s="10" t="s">
        <v>27</v>
      </c>
      <c r="H37" s="10" t="s">
        <v>30</v>
      </c>
      <c r="I37" s="12" t="s">
        <v>32</v>
      </c>
      <c r="J37" s="10" t="s">
        <v>30</v>
      </c>
      <c r="K37" s="12">
        <v>0.0</v>
      </c>
      <c r="L37" s="12">
        <v>0.0</v>
      </c>
      <c r="M37" s="12">
        <v>5.0</v>
      </c>
    </row>
    <row r="38" ht="16.5" customHeight="1">
      <c r="A38" s="10">
        <v>3267.0</v>
      </c>
      <c r="B38" s="10" t="s">
        <v>69</v>
      </c>
      <c r="C38" s="10" t="s">
        <v>25</v>
      </c>
      <c r="D38" s="11">
        <v>45384.0</v>
      </c>
      <c r="E38" s="10" t="s">
        <v>30</v>
      </c>
      <c r="F38" s="12">
        <v>15.0</v>
      </c>
      <c r="G38" s="10" t="s">
        <v>35</v>
      </c>
      <c r="H38" s="10" t="s">
        <v>26</v>
      </c>
      <c r="I38" s="12">
        <v>30.0</v>
      </c>
      <c r="J38" s="10" t="s">
        <v>26</v>
      </c>
      <c r="K38" s="12">
        <v>20.0</v>
      </c>
      <c r="L38" s="12">
        <v>7.0</v>
      </c>
      <c r="M38" s="12">
        <v>58.0</v>
      </c>
    </row>
    <row r="39" ht="16.5" hidden="1" customHeight="1">
      <c r="A39" s="10">
        <v>3268.0</v>
      </c>
      <c r="B39" s="10" t="s">
        <v>70</v>
      </c>
      <c r="C39" s="10" t="s">
        <v>34</v>
      </c>
      <c r="D39" s="11">
        <v>45385.0</v>
      </c>
      <c r="E39" s="10" t="s">
        <v>26</v>
      </c>
      <c r="F39" s="12">
        <v>10.0</v>
      </c>
      <c r="G39" s="10" t="s">
        <v>31</v>
      </c>
      <c r="H39" s="10" t="s">
        <v>30</v>
      </c>
      <c r="I39" s="12" t="s">
        <v>32</v>
      </c>
      <c r="J39" s="10" t="s">
        <v>26</v>
      </c>
      <c r="K39" s="12">
        <v>20.0</v>
      </c>
      <c r="L39" s="12">
        <v>10.0</v>
      </c>
      <c r="M39" s="12">
        <v>20.0</v>
      </c>
    </row>
    <row r="40" ht="16.5" hidden="1" customHeight="1">
      <c r="A40" s="10">
        <v>3269.0</v>
      </c>
      <c r="B40" s="10" t="s">
        <v>71</v>
      </c>
      <c r="C40" s="10" t="s">
        <v>29</v>
      </c>
      <c r="D40" s="11">
        <v>45386.0</v>
      </c>
      <c r="E40" s="10" t="s">
        <v>30</v>
      </c>
      <c r="F40" s="12">
        <v>5.0</v>
      </c>
      <c r="G40" s="10" t="s">
        <v>35</v>
      </c>
      <c r="H40" s="10" t="s">
        <v>30</v>
      </c>
      <c r="I40" s="12" t="s">
        <v>32</v>
      </c>
      <c r="J40" s="10" t="s">
        <v>30</v>
      </c>
      <c r="K40" s="12">
        <v>0.0</v>
      </c>
      <c r="L40" s="12">
        <v>1.0</v>
      </c>
      <c r="M40" s="12">
        <v>4.0</v>
      </c>
    </row>
    <row r="41" ht="16.5" customHeight="1">
      <c r="A41" s="10">
        <v>3270.0</v>
      </c>
      <c r="B41" s="10" t="s">
        <v>72</v>
      </c>
      <c r="C41" s="10" t="s">
        <v>25</v>
      </c>
      <c r="D41" s="11">
        <v>45387.0</v>
      </c>
      <c r="E41" s="10" t="s">
        <v>26</v>
      </c>
      <c r="F41" s="12">
        <v>15.0</v>
      </c>
      <c r="G41" s="10" t="s">
        <v>27</v>
      </c>
      <c r="H41" s="10" t="s">
        <v>26</v>
      </c>
      <c r="I41" s="12">
        <v>30.0</v>
      </c>
      <c r="J41" s="10" t="s">
        <v>26</v>
      </c>
      <c r="K41" s="12">
        <v>20.0</v>
      </c>
      <c r="L41" s="12">
        <v>15.0</v>
      </c>
      <c r="M41" s="12">
        <v>50.0</v>
      </c>
    </row>
    <row r="42" ht="16.5" hidden="1" customHeight="1">
      <c r="A42" s="10">
        <v>3271.0</v>
      </c>
      <c r="B42" s="10" t="s">
        <v>73</v>
      </c>
      <c r="C42" s="10" t="s">
        <v>34</v>
      </c>
      <c r="D42" s="11">
        <v>45388.0</v>
      </c>
      <c r="E42" s="10" t="s">
        <v>30</v>
      </c>
      <c r="F42" s="12">
        <v>10.0</v>
      </c>
      <c r="G42" s="10" t="s">
        <v>27</v>
      </c>
      <c r="H42" s="10" t="s">
        <v>30</v>
      </c>
      <c r="I42" s="12" t="s">
        <v>32</v>
      </c>
      <c r="J42" s="10" t="s">
        <v>26</v>
      </c>
      <c r="K42" s="12">
        <v>20.0</v>
      </c>
      <c r="L42" s="12">
        <v>5.0</v>
      </c>
      <c r="M42" s="12">
        <v>25.0</v>
      </c>
    </row>
    <row r="43" ht="16.5" hidden="1" customHeight="1">
      <c r="A43" s="10">
        <v>3272.0</v>
      </c>
      <c r="B43" s="10" t="s">
        <v>74</v>
      </c>
      <c r="C43" s="10" t="s">
        <v>29</v>
      </c>
      <c r="D43" s="11">
        <v>45389.0</v>
      </c>
      <c r="E43" s="10" t="s">
        <v>26</v>
      </c>
      <c r="F43" s="12">
        <v>5.0</v>
      </c>
      <c r="G43" s="10" t="s">
        <v>31</v>
      </c>
      <c r="H43" s="10" t="s">
        <v>30</v>
      </c>
      <c r="I43" s="12" t="s">
        <v>32</v>
      </c>
      <c r="J43" s="10" t="s">
        <v>30</v>
      </c>
      <c r="K43" s="12">
        <v>0.0</v>
      </c>
      <c r="L43" s="12">
        <v>0.0</v>
      </c>
      <c r="M43" s="12">
        <v>5.0</v>
      </c>
    </row>
    <row r="44" ht="16.5" customHeight="1">
      <c r="A44" s="10">
        <v>3273.0</v>
      </c>
      <c r="B44" s="10" t="s">
        <v>75</v>
      </c>
      <c r="C44" s="10" t="s">
        <v>25</v>
      </c>
      <c r="D44" s="11">
        <v>45390.0</v>
      </c>
      <c r="E44" s="10" t="s">
        <v>30</v>
      </c>
      <c r="F44" s="12">
        <v>15.0</v>
      </c>
      <c r="G44" s="10" t="s">
        <v>35</v>
      </c>
      <c r="H44" s="10" t="s">
        <v>26</v>
      </c>
      <c r="I44" s="12">
        <v>30.0</v>
      </c>
      <c r="J44" s="10" t="s">
        <v>26</v>
      </c>
      <c r="K44" s="12">
        <v>20.0</v>
      </c>
      <c r="L44" s="12">
        <v>20.0</v>
      </c>
      <c r="M44" s="12">
        <v>45.0</v>
      </c>
    </row>
    <row r="45" ht="16.5" hidden="1" customHeight="1">
      <c r="A45" s="10">
        <v>3274.0</v>
      </c>
      <c r="B45" s="10" t="s">
        <v>76</v>
      </c>
      <c r="C45" s="10" t="s">
        <v>34</v>
      </c>
      <c r="D45" s="11">
        <v>45391.0</v>
      </c>
      <c r="E45" s="10" t="s">
        <v>26</v>
      </c>
      <c r="F45" s="12">
        <v>10.0</v>
      </c>
      <c r="G45" s="10" t="s">
        <v>35</v>
      </c>
      <c r="H45" s="10" t="s">
        <v>30</v>
      </c>
      <c r="I45" s="12" t="s">
        <v>32</v>
      </c>
      <c r="J45" s="10" t="s">
        <v>26</v>
      </c>
      <c r="K45" s="12">
        <v>20.0</v>
      </c>
      <c r="L45" s="12">
        <v>12.0</v>
      </c>
      <c r="M45" s="12">
        <v>18.0</v>
      </c>
    </row>
    <row r="46" ht="16.5" hidden="1" customHeight="1">
      <c r="A46" s="10">
        <v>3275.0</v>
      </c>
      <c r="B46" s="10" t="s">
        <v>77</v>
      </c>
      <c r="C46" s="10" t="s">
        <v>29</v>
      </c>
      <c r="D46" s="11">
        <v>45392.0</v>
      </c>
      <c r="E46" s="10" t="s">
        <v>30</v>
      </c>
      <c r="F46" s="12">
        <v>5.0</v>
      </c>
      <c r="G46" s="10" t="s">
        <v>27</v>
      </c>
      <c r="H46" s="10" t="s">
        <v>30</v>
      </c>
      <c r="I46" s="12" t="s">
        <v>32</v>
      </c>
      <c r="J46" s="10" t="s">
        <v>30</v>
      </c>
      <c r="K46" s="12">
        <v>0.0</v>
      </c>
      <c r="L46" s="12">
        <v>2.0</v>
      </c>
      <c r="M46" s="12">
        <v>3.0</v>
      </c>
    </row>
    <row r="47" ht="16.5" customHeight="1">
      <c r="A47" s="10">
        <v>3276.0</v>
      </c>
      <c r="B47" s="10" t="s">
        <v>78</v>
      </c>
      <c r="C47" s="10" t="s">
        <v>25</v>
      </c>
      <c r="D47" s="11">
        <v>45393.0</v>
      </c>
      <c r="E47" s="10" t="s">
        <v>26</v>
      </c>
      <c r="F47" s="12">
        <v>15.0</v>
      </c>
      <c r="G47" s="10" t="s">
        <v>31</v>
      </c>
      <c r="H47" s="10" t="s">
        <v>26</v>
      </c>
      <c r="I47" s="12">
        <v>30.0</v>
      </c>
      <c r="J47" s="10" t="s">
        <v>26</v>
      </c>
      <c r="K47" s="12">
        <v>20.0</v>
      </c>
      <c r="L47" s="12">
        <v>5.0</v>
      </c>
      <c r="M47" s="12">
        <v>60.0</v>
      </c>
    </row>
    <row r="48" ht="16.5" hidden="1" customHeight="1">
      <c r="A48" s="10">
        <v>3277.0</v>
      </c>
      <c r="B48" s="10" t="s">
        <v>79</v>
      </c>
      <c r="C48" s="10" t="s">
        <v>34</v>
      </c>
      <c r="D48" s="11">
        <v>45394.0</v>
      </c>
      <c r="E48" s="10" t="s">
        <v>30</v>
      </c>
      <c r="F48" s="12">
        <v>10.0</v>
      </c>
      <c r="G48" s="10" t="s">
        <v>27</v>
      </c>
      <c r="H48" s="10" t="s">
        <v>30</v>
      </c>
      <c r="I48" s="12" t="s">
        <v>32</v>
      </c>
      <c r="J48" s="10" t="s">
        <v>26</v>
      </c>
      <c r="K48" s="12">
        <v>20.0</v>
      </c>
      <c r="L48" s="12">
        <v>10.0</v>
      </c>
      <c r="M48" s="12">
        <v>20.0</v>
      </c>
    </row>
    <row r="49" ht="16.5" hidden="1" customHeight="1">
      <c r="A49" s="10">
        <v>3278.0</v>
      </c>
      <c r="B49" s="10" t="s">
        <v>80</v>
      </c>
      <c r="C49" s="10" t="s">
        <v>29</v>
      </c>
      <c r="D49" s="11">
        <v>45395.0</v>
      </c>
      <c r="E49" s="10" t="s">
        <v>26</v>
      </c>
      <c r="F49" s="12">
        <v>5.0</v>
      </c>
      <c r="G49" s="10" t="s">
        <v>35</v>
      </c>
      <c r="H49" s="10" t="s">
        <v>30</v>
      </c>
      <c r="I49" s="12" t="s">
        <v>32</v>
      </c>
      <c r="J49" s="10" t="s">
        <v>30</v>
      </c>
      <c r="K49" s="12">
        <v>0.0</v>
      </c>
      <c r="L49" s="12">
        <v>0.0</v>
      </c>
      <c r="M49" s="12">
        <v>5.0</v>
      </c>
    </row>
    <row r="50" ht="16.5" customHeight="1">
      <c r="A50" s="10">
        <v>3279.0</v>
      </c>
      <c r="B50" s="10" t="s">
        <v>81</v>
      </c>
      <c r="C50" s="10" t="s">
        <v>25</v>
      </c>
      <c r="D50" s="11">
        <v>45396.0</v>
      </c>
      <c r="E50" s="10" t="s">
        <v>30</v>
      </c>
      <c r="F50" s="12">
        <v>15.0</v>
      </c>
      <c r="G50" s="10" t="s">
        <v>27</v>
      </c>
      <c r="H50" s="10" t="s">
        <v>26</v>
      </c>
      <c r="I50" s="12">
        <v>30.0</v>
      </c>
      <c r="J50" s="10" t="s">
        <v>26</v>
      </c>
      <c r="K50" s="12">
        <v>20.0</v>
      </c>
      <c r="L50" s="12">
        <v>3.0</v>
      </c>
      <c r="M50" s="12">
        <v>62.0</v>
      </c>
    </row>
    <row r="51" ht="16.5" hidden="1" customHeight="1">
      <c r="A51" s="10">
        <v>3280.0</v>
      </c>
      <c r="B51" s="10" t="s">
        <v>82</v>
      </c>
      <c r="C51" s="10" t="s">
        <v>34</v>
      </c>
      <c r="D51" s="11">
        <v>45397.0</v>
      </c>
      <c r="E51" s="10" t="s">
        <v>26</v>
      </c>
      <c r="F51" s="12">
        <v>10.0</v>
      </c>
      <c r="G51" s="10" t="s">
        <v>31</v>
      </c>
      <c r="H51" s="10" t="s">
        <v>30</v>
      </c>
      <c r="I51" s="12" t="s">
        <v>32</v>
      </c>
      <c r="J51" s="10" t="s">
        <v>26</v>
      </c>
      <c r="K51" s="12">
        <v>20.0</v>
      </c>
      <c r="L51" s="12">
        <v>15.0</v>
      </c>
      <c r="M51" s="12">
        <v>15.0</v>
      </c>
    </row>
    <row r="52" ht="16.5" hidden="1" customHeight="1">
      <c r="A52" s="10">
        <v>3281.0</v>
      </c>
      <c r="B52" s="10" t="s">
        <v>83</v>
      </c>
      <c r="C52" s="10" t="s">
        <v>29</v>
      </c>
      <c r="D52" s="11">
        <v>45398.0</v>
      </c>
      <c r="E52" s="10" t="s">
        <v>30</v>
      </c>
      <c r="F52" s="12">
        <v>5.0</v>
      </c>
      <c r="G52" s="10" t="s">
        <v>27</v>
      </c>
      <c r="H52" s="10" t="s">
        <v>30</v>
      </c>
      <c r="I52" s="12" t="s">
        <v>32</v>
      </c>
      <c r="J52" s="10" t="s">
        <v>30</v>
      </c>
      <c r="K52" s="12">
        <v>0.0</v>
      </c>
      <c r="L52" s="12">
        <v>1.0</v>
      </c>
      <c r="M52" s="12">
        <v>4.0</v>
      </c>
    </row>
    <row r="53" ht="16.5" customHeight="1">
      <c r="A53" s="10">
        <v>3282.0</v>
      </c>
      <c r="B53" s="10" t="s">
        <v>84</v>
      </c>
      <c r="C53" s="10" t="s">
        <v>25</v>
      </c>
      <c r="D53" s="11">
        <v>45399.0</v>
      </c>
      <c r="E53" s="10" t="s">
        <v>26</v>
      </c>
      <c r="F53" s="12">
        <v>15.0</v>
      </c>
      <c r="G53" s="10" t="s">
        <v>35</v>
      </c>
      <c r="H53" s="10" t="s">
        <v>26</v>
      </c>
      <c r="I53" s="12">
        <v>30.0</v>
      </c>
      <c r="J53" s="10" t="s">
        <v>26</v>
      </c>
      <c r="K53" s="12">
        <v>20.0</v>
      </c>
      <c r="L53" s="12">
        <v>7.0</v>
      </c>
      <c r="M53" s="12">
        <v>58.0</v>
      </c>
    </row>
    <row r="54" ht="16.5" hidden="1" customHeight="1">
      <c r="A54" s="10">
        <v>3283.0</v>
      </c>
      <c r="B54" s="10" t="s">
        <v>85</v>
      </c>
      <c r="C54" s="10" t="s">
        <v>34</v>
      </c>
      <c r="D54" s="11">
        <v>45400.0</v>
      </c>
      <c r="E54" s="10" t="s">
        <v>30</v>
      </c>
      <c r="F54" s="12">
        <v>10.0</v>
      </c>
      <c r="G54" s="10" t="s">
        <v>27</v>
      </c>
      <c r="H54" s="10" t="s">
        <v>30</v>
      </c>
      <c r="I54" s="12" t="s">
        <v>32</v>
      </c>
      <c r="J54" s="10" t="s">
        <v>26</v>
      </c>
      <c r="K54" s="12">
        <v>20.0</v>
      </c>
      <c r="L54" s="12">
        <v>10.0</v>
      </c>
      <c r="M54" s="12">
        <v>20.0</v>
      </c>
    </row>
    <row r="55" ht="16.5" hidden="1" customHeight="1">
      <c r="A55" s="10">
        <v>3284.0</v>
      </c>
      <c r="B55" s="10" t="s">
        <v>86</v>
      </c>
      <c r="C55" s="10" t="s">
        <v>29</v>
      </c>
      <c r="D55" s="11">
        <v>45401.0</v>
      </c>
      <c r="E55" s="10" t="s">
        <v>26</v>
      </c>
      <c r="F55" s="12">
        <v>5.0</v>
      </c>
      <c r="G55" s="10" t="s">
        <v>31</v>
      </c>
      <c r="H55" s="10" t="s">
        <v>30</v>
      </c>
      <c r="I55" s="12" t="s">
        <v>32</v>
      </c>
      <c r="J55" s="10" t="s">
        <v>30</v>
      </c>
      <c r="K55" s="12">
        <v>0.0</v>
      </c>
      <c r="L55" s="12">
        <v>0.0</v>
      </c>
      <c r="M55" s="12">
        <v>5.0</v>
      </c>
    </row>
    <row r="56" ht="16.5" customHeight="1">
      <c r="A56" s="10">
        <v>3285.0</v>
      </c>
      <c r="B56" s="10" t="s">
        <v>87</v>
      </c>
      <c r="C56" s="10" t="s">
        <v>25</v>
      </c>
      <c r="D56" s="11">
        <v>45402.0</v>
      </c>
      <c r="E56" s="10" t="s">
        <v>30</v>
      </c>
      <c r="F56" s="12">
        <v>15.0</v>
      </c>
      <c r="G56" s="10" t="s">
        <v>27</v>
      </c>
      <c r="H56" s="10" t="s">
        <v>26</v>
      </c>
      <c r="I56" s="12">
        <v>30.0</v>
      </c>
      <c r="J56" s="10" t="s">
        <v>26</v>
      </c>
      <c r="K56" s="12">
        <v>20.0</v>
      </c>
      <c r="L56" s="12">
        <v>20.0</v>
      </c>
      <c r="M56" s="12">
        <v>45.0</v>
      </c>
    </row>
    <row r="57" ht="16.5" hidden="1" customHeight="1">
      <c r="A57" s="10">
        <v>3286.0</v>
      </c>
      <c r="B57" s="10" t="s">
        <v>88</v>
      </c>
      <c r="C57" s="10" t="s">
        <v>34</v>
      </c>
      <c r="D57" s="11">
        <v>45403.0</v>
      </c>
      <c r="E57" s="10" t="s">
        <v>26</v>
      </c>
      <c r="F57" s="12">
        <v>10.0</v>
      </c>
      <c r="G57" s="10" t="s">
        <v>35</v>
      </c>
      <c r="H57" s="10" t="s">
        <v>30</v>
      </c>
      <c r="I57" s="12" t="s">
        <v>32</v>
      </c>
      <c r="J57" s="10" t="s">
        <v>26</v>
      </c>
      <c r="K57" s="12">
        <v>20.0</v>
      </c>
      <c r="L57" s="12">
        <v>15.0</v>
      </c>
      <c r="M57" s="12">
        <v>15.0</v>
      </c>
    </row>
    <row r="58" ht="16.5" hidden="1" customHeight="1">
      <c r="A58" s="10">
        <v>3287.0</v>
      </c>
      <c r="B58" s="10" t="s">
        <v>89</v>
      </c>
      <c r="C58" s="10" t="s">
        <v>29</v>
      </c>
      <c r="D58" s="11">
        <v>45404.0</v>
      </c>
      <c r="E58" s="10" t="s">
        <v>30</v>
      </c>
      <c r="F58" s="12">
        <v>5.0</v>
      </c>
      <c r="G58" s="10" t="s">
        <v>27</v>
      </c>
      <c r="H58" s="10" t="s">
        <v>30</v>
      </c>
      <c r="I58" s="12" t="s">
        <v>32</v>
      </c>
      <c r="J58" s="10" t="s">
        <v>30</v>
      </c>
      <c r="K58" s="12">
        <v>0.0</v>
      </c>
      <c r="L58" s="12">
        <v>1.0</v>
      </c>
      <c r="M58" s="12">
        <v>4.0</v>
      </c>
    </row>
    <row r="59" ht="16.5" customHeight="1">
      <c r="A59" s="10">
        <v>3288.0</v>
      </c>
      <c r="B59" s="10" t="s">
        <v>90</v>
      </c>
      <c r="C59" s="10" t="s">
        <v>25</v>
      </c>
      <c r="D59" s="11">
        <v>45405.0</v>
      </c>
      <c r="E59" s="10" t="s">
        <v>26</v>
      </c>
      <c r="F59" s="12">
        <v>15.0</v>
      </c>
      <c r="G59" s="10" t="s">
        <v>31</v>
      </c>
      <c r="H59" s="10" t="s">
        <v>26</v>
      </c>
      <c r="I59" s="12">
        <v>30.0</v>
      </c>
      <c r="J59" s="10" t="s">
        <v>26</v>
      </c>
      <c r="K59" s="12">
        <v>20.0</v>
      </c>
      <c r="L59" s="12">
        <v>3.0</v>
      </c>
      <c r="M59" s="12">
        <v>62.0</v>
      </c>
    </row>
    <row r="60" ht="16.5" hidden="1" customHeight="1">
      <c r="A60" s="10">
        <v>3289.0</v>
      </c>
      <c r="B60" s="10" t="s">
        <v>91</v>
      </c>
      <c r="C60" s="10" t="s">
        <v>34</v>
      </c>
      <c r="D60" s="11">
        <v>45406.0</v>
      </c>
      <c r="E60" s="10" t="s">
        <v>30</v>
      </c>
      <c r="F60" s="12">
        <v>10.0</v>
      </c>
      <c r="G60" s="10" t="s">
        <v>27</v>
      </c>
      <c r="H60" s="10" t="s">
        <v>30</v>
      </c>
      <c r="I60" s="12" t="s">
        <v>32</v>
      </c>
      <c r="J60" s="10" t="s">
        <v>26</v>
      </c>
      <c r="K60" s="12">
        <v>20.0</v>
      </c>
      <c r="L60" s="12">
        <v>10.0</v>
      </c>
      <c r="M60" s="12">
        <v>20.0</v>
      </c>
    </row>
    <row r="61" ht="16.5" hidden="1" customHeight="1">
      <c r="A61" s="10">
        <v>3290.0</v>
      </c>
      <c r="B61" s="10" t="s">
        <v>92</v>
      </c>
      <c r="C61" s="10" t="s">
        <v>29</v>
      </c>
      <c r="D61" s="11">
        <v>45407.0</v>
      </c>
      <c r="E61" s="10" t="s">
        <v>26</v>
      </c>
      <c r="F61" s="12">
        <v>5.0</v>
      </c>
      <c r="G61" s="10" t="s">
        <v>35</v>
      </c>
      <c r="H61" s="10" t="s">
        <v>30</v>
      </c>
      <c r="I61" s="12" t="s">
        <v>32</v>
      </c>
      <c r="J61" s="10" t="s">
        <v>30</v>
      </c>
      <c r="K61" s="12">
        <v>0.0</v>
      </c>
      <c r="L61" s="12">
        <v>0.0</v>
      </c>
      <c r="M61" s="12">
        <v>5.0</v>
      </c>
    </row>
    <row r="62" ht="16.5" customHeight="1">
      <c r="A62" s="10">
        <v>3291.0</v>
      </c>
      <c r="B62" s="10" t="s">
        <v>93</v>
      </c>
      <c r="C62" s="10" t="s">
        <v>25</v>
      </c>
      <c r="D62" s="11">
        <v>45408.0</v>
      </c>
      <c r="E62" s="10" t="s">
        <v>30</v>
      </c>
      <c r="F62" s="12">
        <v>15.0</v>
      </c>
      <c r="G62" s="10" t="s">
        <v>27</v>
      </c>
      <c r="H62" s="10" t="s">
        <v>26</v>
      </c>
      <c r="I62" s="12">
        <v>30.0</v>
      </c>
      <c r="J62" s="10" t="s">
        <v>26</v>
      </c>
      <c r="K62" s="12">
        <v>20.0</v>
      </c>
      <c r="L62" s="12">
        <v>5.0</v>
      </c>
      <c r="M62" s="12">
        <v>60.0</v>
      </c>
    </row>
    <row r="63" ht="16.5" hidden="1" customHeight="1">
      <c r="A63" s="10">
        <v>3292.0</v>
      </c>
      <c r="B63" s="10" t="s">
        <v>94</v>
      </c>
      <c r="C63" s="10" t="s">
        <v>34</v>
      </c>
      <c r="D63" s="11">
        <v>45409.0</v>
      </c>
      <c r="E63" s="10" t="s">
        <v>26</v>
      </c>
      <c r="F63" s="12">
        <v>10.0</v>
      </c>
      <c r="G63" s="10" t="s">
        <v>31</v>
      </c>
      <c r="H63" s="10" t="s">
        <v>30</v>
      </c>
      <c r="I63" s="12" t="s">
        <v>32</v>
      </c>
      <c r="J63" s="10" t="s">
        <v>26</v>
      </c>
      <c r="K63" s="12">
        <v>20.0</v>
      </c>
      <c r="L63" s="12">
        <v>15.0</v>
      </c>
      <c r="M63" s="12">
        <v>15.0</v>
      </c>
    </row>
    <row r="64" ht="16.5" hidden="1" customHeight="1">
      <c r="A64" s="10">
        <v>3293.0</v>
      </c>
      <c r="B64" s="10" t="s">
        <v>95</v>
      </c>
      <c r="C64" s="10" t="s">
        <v>29</v>
      </c>
      <c r="D64" s="11">
        <v>45410.0</v>
      </c>
      <c r="E64" s="10" t="s">
        <v>30</v>
      </c>
      <c r="F64" s="12">
        <v>5.0</v>
      </c>
      <c r="G64" s="10" t="s">
        <v>27</v>
      </c>
      <c r="H64" s="10" t="s">
        <v>30</v>
      </c>
      <c r="I64" s="12" t="s">
        <v>32</v>
      </c>
      <c r="J64" s="10" t="s">
        <v>30</v>
      </c>
      <c r="K64" s="12">
        <v>0.0</v>
      </c>
      <c r="L64" s="12">
        <v>1.0</v>
      </c>
      <c r="M64" s="12">
        <v>4.0</v>
      </c>
    </row>
    <row r="65" ht="16.5" customHeight="1">
      <c r="A65" s="10">
        <v>3294.0</v>
      </c>
      <c r="B65" s="10" t="s">
        <v>96</v>
      </c>
      <c r="C65" s="10" t="s">
        <v>25</v>
      </c>
      <c r="D65" s="11">
        <v>45411.0</v>
      </c>
      <c r="E65" s="10" t="s">
        <v>26</v>
      </c>
      <c r="F65" s="12">
        <v>15.0</v>
      </c>
      <c r="G65" s="10" t="s">
        <v>35</v>
      </c>
      <c r="H65" s="10" t="s">
        <v>26</v>
      </c>
      <c r="I65" s="12">
        <v>30.0</v>
      </c>
      <c r="J65" s="10" t="s">
        <v>26</v>
      </c>
      <c r="K65" s="12">
        <v>20.0</v>
      </c>
      <c r="L65" s="12">
        <v>20.0</v>
      </c>
      <c r="M65" s="12">
        <v>45.0</v>
      </c>
    </row>
    <row r="66" ht="16.5" hidden="1" customHeight="1">
      <c r="A66" s="10">
        <v>3295.0</v>
      </c>
      <c r="B66" s="10" t="s">
        <v>97</v>
      </c>
      <c r="C66" s="10" t="s">
        <v>34</v>
      </c>
      <c r="D66" s="11">
        <v>45412.0</v>
      </c>
      <c r="E66" s="10" t="s">
        <v>30</v>
      </c>
      <c r="F66" s="12">
        <v>10.0</v>
      </c>
      <c r="G66" s="10" t="s">
        <v>27</v>
      </c>
      <c r="H66" s="10" t="s">
        <v>30</v>
      </c>
      <c r="I66" s="12" t="s">
        <v>32</v>
      </c>
      <c r="J66" s="10" t="s">
        <v>26</v>
      </c>
      <c r="K66" s="12">
        <v>20.0</v>
      </c>
      <c r="L66" s="12">
        <v>5.0</v>
      </c>
      <c r="M66" s="12">
        <v>25.0</v>
      </c>
    </row>
    <row r="67" ht="16.5" hidden="1" customHeight="1">
      <c r="A67" s="10">
        <v>3296.0</v>
      </c>
      <c r="B67" s="10" t="s">
        <v>98</v>
      </c>
      <c r="C67" s="10" t="s">
        <v>29</v>
      </c>
      <c r="D67" s="11">
        <v>45413.0</v>
      </c>
      <c r="E67" s="10" t="s">
        <v>30</v>
      </c>
      <c r="F67" s="12">
        <v>5.0</v>
      </c>
      <c r="G67" s="10" t="s">
        <v>27</v>
      </c>
      <c r="H67" s="10" t="s">
        <v>30</v>
      </c>
      <c r="I67" s="12" t="s">
        <v>32</v>
      </c>
      <c r="J67" s="10" t="s">
        <v>30</v>
      </c>
      <c r="K67" s="12">
        <v>0.0</v>
      </c>
      <c r="L67" s="12">
        <v>0.0</v>
      </c>
      <c r="M67" s="12">
        <v>5.0</v>
      </c>
    </row>
    <row r="68" ht="16.5" customHeight="1">
      <c r="A68" s="10">
        <v>3297.0</v>
      </c>
      <c r="B68" s="10" t="s">
        <v>99</v>
      </c>
      <c r="C68" s="10" t="s">
        <v>25</v>
      </c>
      <c r="D68" s="11">
        <v>45414.0</v>
      </c>
      <c r="E68" s="10" t="s">
        <v>26</v>
      </c>
      <c r="F68" s="12">
        <v>15.0</v>
      </c>
      <c r="G68" s="10" t="s">
        <v>35</v>
      </c>
      <c r="H68" s="10" t="s">
        <v>26</v>
      </c>
      <c r="I68" s="12">
        <v>30.0</v>
      </c>
      <c r="J68" s="10" t="s">
        <v>26</v>
      </c>
      <c r="K68" s="12">
        <v>20.0</v>
      </c>
      <c r="L68" s="12">
        <v>7.0</v>
      </c>
      <c r="M68" s="12">
        <v>58.0</v>
      </c>
    </row>
    <row r="69" ht="16.5" hidden="1" customHeight="1">
      <c r="A69" s="10">
        <v>3298.0</v>
      </c>
      <c r="B69" s="10" t="s">
        <v>100</v>
      </c>
      <c r="C69" s="10" t="s">
        <v>34</v>
      </c>
      <c r="D69" s="11">
        <v>45415.0</v>
      </c>
      <c r="E69" s="10" t="s">
        <v>30</v>
      </c>
      <c r="F69" s="12">
        <v>10.0</v>
      </c>
      <c r="G69" s="10" t="s">
        <v>31</v>
      </c>
      <c r="H69" s="10" t="s">
        <v>30</v>
      </c>
      <c r="I69" s="12" t="s">
        <v>32</v>
      </c>
      <c r="J69" s="10" t="s">
        <v>26</v>
      </c>
      <c r="K69" s="12">
        <v>20.0</v>
      </c>
      <c r="L69" s="12">
        <v>10.0</v>
      </c>
      <c r="M69" s="12">
        <v>20.0</v>
      </c>
    </row>
    <row r="70" ht="16.5" hidden="1" customHeight="1">
      <c r="A70" s="10">
        <v>3299.0</v>
      </c>
      <c r="B70" s="10" t="s">
        <v>101</v>
      </c>
      <c r="C70" s="10" t="s">
        <v>29</v>
      </c>
      <c r="D70" s="11">
        <v>45416.0</v>
      </c>
      <c r="E70" s="10" t="s">
        <v>26</v>
      </c>
      <c r="F70" s="12">
        <v>5.0</v>
      </c>
      <c r="G70" s="10" t="s">
        <v>35</v>
      </c>
      <c r="H70" s="10" t="s">
        <v>30</v>
      </c>
      <c r="I70" s="12" t="s">
        <v>32</v>
      </c>
      <c r="J70" s="10" t="s">
        <v>30</v>
      </c>
      <c r="K70" s="12">
        <v>0.0</v>
      </c>
      <c r="L70" s="12">
        <v>1.0</v>
      </c>
      <c r="M70" s="12">
        <v>4.0</v>
      </c>
    </row>
    <row r="71" ht="16.5" customHeight="1">
      <c r="A71" s="10">
        <v>3300.0</v>
      </c>
      <c r="B71" s="10" t="s">
        <v>102</v>
      </c>
      <c r="C71" s="10" t="s">
        <v>25</v>
      </c>
      <c r="D71" s="11">
        <v>45417.0</v>
      </c>
      <c r="E71" s="10" t="s">
        <v>30</v>
      </c>
      <c r="F71" s="12">
        <v>15.0</v>
      </c>
      <c r="G71" s="10" t="s">
        <v>27</v>
      </c>
      <c r="H71" s="10" t="s">
        <v>26</v>
      </c>
      <c r="I71" s="12">
        <v>30.0</v>
      </c>
      <c r="J71" s="10" t="s">
        <v>26</v>
      </c>
      <c r="K71" s="12">
        <v>20.0</v>
      </c>
      <c r="L71" s="12">
        <v>15.0</v>
      </c>
      <c r="M71" s="12">
        <v>50.0</v>
      </c>
    </row>
    <row r="72" ht="16.5" hidden="1" customHeight="1">
      <c r="A72" s="10">
        <v>3301.0</v>
      </c>
      <c r="B72" s="10" t="s">
        <v>103</v>
      </c>
      <c r="C72" s="10" t="s">
        <v>34</v>
      </c>
      <c r="D72" s="11">
        <v>45418.0</v>
      </c>
      <c r="E72" s="10" t="s">
        <v>26</v>
      </c>
      <c r="F72" s="12">
        <v>10.0</v>
      </c>
      <c r="G72" s="10" t="s">
        <v>27</v>
      </c>
      <c r="H72" s="10" t="s">
        <v>30</v>
      </c>
      <c r="I72" s="12" t="s">
        <v>32</v>
      </c>
      <c r="J72" s="10" t="s">
        <v>26</v>
      </c>
      <c r="K72" s="12">
        <v>20.0</v>
      </c>
      <c r="L72" s="12">
        <v>5.0</v>
      </c>
      <c r="M72" s="12">
        <v>25.0</v>
      </c>
    </row>
    <row r="73" ht="16.5" hidden="1" customHeight="1">
      <c r="A73" s="10">
        <v>3302.0</v>
      </c>
      <c r="B73" s="10" t="s">
        <v>104</v>
      </c>
      <c r="C73" s="10" t="s">
        <v>29</v>
      </c>
      <c r="D73" s="11">
        <v>45419.0</v>
      </c>
      <c r="E73" s="10" t="s">
        <v>30</v>
      </c>
      <c r="F73" s="12">
        <v>5.0</v>
      </c>
      <c r="G73" s="10" t="s">
        <v>31</v>
      </c>
      <c r="H73" s="10" t="s">
        <v>30</v>
      </c>
      <c r="I73" s="12" t="s">
        <v>32</v>
      </c>
      <c r="J73" s="10" t="s">
        <v>30</v>
      </c>
      <c r="K73" s="12">
        <v>0.0</v>
      </c>
      <c r="L73" s="12">
        <v>0.0</v>
      </c>
      <c r="M73" s="12">
        <v>5.0</v>
      </c>
    </row>
    <row r="74" ht="16.5" customHeight="1">
      <c r="A74" s="10">
        <v>3303.0</v>
      </c>
      <c r="B74" s="10" t="s">
        <v>105</v>
      </c>
      <c r="C74" s="10" t="s">
        <v>25</v>
      </c>
      <c r="D74" s="11">
        <v>45420.0</v>
      </c>
      <c r="E74" s="10" t="s">
        <v>26</v>
      </c>
      <c r="F74" s="12">
        <v>15.0</v>
      </c>
      <c r="G74" s="10" t="s">
        <v>35</v>
      </c>
      <c r="H74" s="10" t="s">
        <v>26</v>
      </c>
      <c r="I74" s="12">
        <v>30.0</v>
      </c>
      <c r="J74" s="10" t="s">
        <v>26</v>
      </c>
      <c r="K74" s="12">
        <v>20.0</v>
      </c>
      <c r="L74" s="12">
        <v>20.0</v>
      </c>
      <c r="M74" s="12">
        <v>45.0</v>
      </c>
    </row>
    <row r="75" ht="16.5" hidden="1" customHeight="1">
      <c r="A75" s="10">
        <v>3304.0</v>
      </c>
      <c r="B75" s="10" t="s">
        <v>106</v>
      </c>
      <c r="C75" s="10" t="s">
        <v>34</v>
      </c>
      <c r="D75" s="11">
        <v>45421.0</v>
      </c>
      <c r="E75" s="10" t="s">
        <v>30</v>
      </c>
      <c r="F75" s="12">
        <v>10.0</v>
      </c>
      <c r="G75" s="10" t="s">
        <v>35</v>
      </c>
      <c r="H75" s="10" t="s">
        <v>30</v>
      </c>
      <c r="I75" s="12" t="s">
        <v>32</v>
      </c>
      <c r="J75" s="10" t="s">
        <v>26</v>
      </c>
      <c r="K75" s="12">
        <v>20.0</v>
      </c>
      <c r="L75" s="12">
        <v>12.0</v>
      </c>
      <c r="M75" s="12">
        <v>18.0</v>
      </c>
    </row>
    <row r="76" ht="16.5" hidden="1" customHeight="1">
      <c r="A76" s="10">
        <v>3305.0</v>
      </c>
      <c r="B76" s="10" t="s">
        <v>107</v>
      </c>
      <c r="C76" s="10" t="s">
        <v>29</v>
      </c>
      <c r="D76" s="11">
        <v>45422.0</v>
      </c>
      <c r="E76" s="10" t="s">
        <v>26</v>
      </c>
      <c r="F76" s="12">
        <v>5.0</v>
      </c>
      <c r="G76" s="10" t="s">
        <v>27</v>
      </c>
      <c r="H76" s="10" t="s">
        <v>30</v>
      </c>
      <c r="I76" s="12" t="s">
        <v>32</v>
      </c>
      <c r="J76" s="10" t="s">
        <v>30</v>
      </c>
      <c r="K76" s="12">
        <v>0.0</v>
      </c>
      <c r="L76" s="12">
        <v>2.0</v>
      </c>
      <c r="M76" s="12">
        <v>3.0</v>
      </c>
    </row>
    <row r="77" ht="16.5" customHeight="1">
      <c r="A77" s="10">
        <v>3306.0</v>
      </c>
      <c r="B77" s="10" t="s">
        <v>108</v>
      </c>
      <c r="C77" s="10" t="s">
        <v>25</v>
      </c>
      <c r="D77" s="11">
        <v>45423.0</v>
      </c>
      <c r="E77" s="10" t="s">
        <v>30</v>
      </c>
      <c r="F77" s="12">
        <v>15.0</v>
      </c>
      <c r="G77" s="10" t="s">
        <v>31</v>
      </c>
      <c r="H77" s="10" t="s">
        <v>26</v>
      </c>
      <c r="I77" s="12">
        <v>30.0</v>
      </c>
      <c r="J77" s="10" t="s">
        <v>26</v>
      </c>
      <c r="K77" s="12">
        <v>20.0</v>
      </c>
      <c r="L77" s="12">
        <v>5.0</v>
      </c>
      <c r="M77" s="12">
        <v>60.0</v>
      </c>
    </row>
    <row r="78" ht="16.5" hidden="1" customHeight="1">
      <c r="A78" s="10">
        <v>3307.0</v>
      </c>
      <c r="B78" s="10" t="s">
        <v>109</v>
      </c>
      <c r="C78" s="10" t="s">
        <v>34</v>
      </c>
      <c r="D78" s="11">
        <v>45424.0</v>
      </c>
      <c r="E78" s="10" t="s">
        <v>26</v>
      </c>
      <c r="F78" s="12">
        <v>10.0</v>
      </c>
      <c r="G78" s="10" t="s">
        <v>27</v>
      </c>
      <c r="H78" s="10" t="s">
        <v>30</v>
      </c>
      <c r="I78" s="12" t="s">
        <v>32</v>
      </c>
      <c r="J78" s="10" t="s">
        <v>26</v>
      </c>
      <c r="K78" s="12">
        <v>20.0</v>
      </c>
      <c r="L78" s="12">
        <v>10.0</v>
      </c>
      <c r="M78" s="12">
        <v>20.0</v>
      </c>
    </row>
    <row r="79" ht="16.5" hidden="1" customHeight="1">
      <c r="A79" s="10">
        <v>3308.0</v>
      </c>
      <c r="B79" s="10" t="s">
        <v>110</v>
      </c>
      <c r="C79" s="10" t="s">
        <v>29</v>
      </c>
      <c r="D79" s="11">
        <v>45425.0</v>
      </c>
      <c r="E79" s="10" t="s">
        <v>30</v>
      </c>
      <c r="F79" s="12">
        <v>5.0</v>
      </c>
      <c r="G79" s="10" t="s">
        <v>35</v>
      </c>
      <c r="H79" s="10" t="s">
        <v>30</v>
      </c>
      <c r="I79" s="12" t="s">
        <v>32</v>
      </c>
      <c r="J79" s="10" t="s">
        <v>30</v>
      </c>
      <c r="K79" s="12">
        <v>0.0</v>
      </c>
      <c r="L79" s="12">
        <v>0.0</v>
      </c>
      <c r="M79" s="12">
        <v>5.0</v>
      </c>
    </row>
    <row r="80" ht="16.5" customHeight="1">
      <c r="A80" s="10">
        <v>3309.0</v>
      </c>
      <c r="B80" s="10" t="s">
        <v>111</v>
      </c>
      <c r="C80" s="10" t="s">
        <v>25</v>
      </c>
      <c r="D80" s="11">
        <v>45426.0</v>
      </c>
      <c r="E80" s="10" t="s">
        <v>26</v>
      </c>
      <c r="F80" s="12">
        <v>15.0</v>
      </c>
      <c r="G80" s="10" t="s">
        <v>27</v>
      </c>
      <c r="H80" s="10" t="s">
        <v>26</v>
      </c>
      <c r="I80" s="12">
        <v>30.0</v>
      </c>
      <c r="J80" s="10" t="s">
        <v>26</v>
      </c>
      <c r="K80" s="12">
        <v>20.0</v>
      </c>
      <c r="L80" s="12">
        <v>3.0</v>
      </c>
      <c r="M80" s="12">
        <v>62.0</v>
      </c>
    </row>
    <row r="81" ht="16.5" hidden="1" customHeight="1">
      <c r="A81" s="10">
        <v>3310.0</v>
      </c>
      <c r="B81" s="10" t="s">
        <v>112</v>
      </c>
      <c r="C81" s="10" t="s">
        <v>34</v>
      </c>
      <c r="D81" s="11">
        <v>45427.0</v>
      </c>
      <c r="E81" s="10" t="s">
        <v>30</v>
      </c>
      <c r="F81" s="12">
        <v>10.0</v>
      </c>
      <c r="G81" s="10" t="s">
        <v>31</v>
      </c>
      <c r="H81" s="10" t="s">
        <v>30</v>
      </c>
      <c r="I81" s="12" t="s">
        <v>32</v>
      </c>
      <c r="J81" s="10" t="s">
        <v>26</v>
      </c>
      <c r="K81" s="12">
        <v>20.0</v>
      </c>
      <c r="L81" s="12">
        <v>15.0</v>
      </c>
      <c r="M81" s="12">
        <v>15.0</v>
      </c>
    </row>
    <row r="82" ht="16.5" hidden="1" customHeight="1">
      <c r="A82" s="10">
        <v>3311.0</v>
      </c>
      <c r="B82" s="10" t="s">
        <v>113</v>
      </c>
      <c r="C82" s="10" t="s">
        <v>29</v>
      </c>
      <c r="D82" s="11">
        <v>45428.0</v>
      </c>
      <c r="E82" s="10" t="s">
        <v>26</v>
      </c>
      <c r="F82" s="12">
        <v>5.0</v>
      </c>
      <c r="G82" s="10" t="s">
        <v>27</v>
      </c>
      <c r="H82" s="10" t="s">
        <v>30</v>
      </c>
      <c r="I82" s="12" t="s">
        <v>32</v>
      </c>
      <c r="J82" s="10" t="s">
        <v>30</v>
      </c>
      <c r="K82" s="12">
        <v>0.0</v>
      </c>
      <c r="L82" s="12">
        <v>1.0</v>
      </c>
      <c r="M82" s="12">
        <v>4.0</v>
      </c>
    </row>
    <row r="83" ht="16.5" customHeight="1">
      <c r="A83" s="10">
        <v>3312.0</v>
      </c>
      <c r="B83" s="10" t="s">
        <v>114</v>
      </c>
      <c r="C83" s="10" t="s">
        <v>25</v>
      </c>
      <c r="D83" s="11">
        <v>45429.0</v>
      </c>
      <c r="E83" s="10" t="s">
        <v>30</v>
      </c>
      <c r="F83" s="12">
        <v>15.0</v>
      </c>
      <c r="G83" s="10" t="s">
        <v>35</v>
      </c>
      <c r="H83" s="10" t="s">
        <v>26</v>
      </c>
      <c r="I83" s="12">
        <v>30.0</v>
      </c>
      <c r="J83" s="10" t="s">
        <v>26</v>
      </c>
      <c r="K83" s="12">
        <v>20.0</v>
      </c>
      <c r="L83" s="12">
        <v>7.0</v>
      </c>
      <c r="M83" s="12">
        <v>58.0</v>
      </c>
    </row>
    <row r="84" ht="16.5" hidden="1" customHeight="1">
      <c r="A84" s="10">
        <v>3313.0</v>
      </c>
      <c r="B84" s="10" t="s">
        <v>115</v>
      </c>
      <c r="C84" s="10" t="s">
        <v>34</v>
      </c>
      <c r="D84" s="11">
        <v>45430.0</v>
      </c>
      <c r="E84" s="10" t="s">
        <v>26</v>
      </c>
      <c r="F84" s="12">
        <v>10.0</v>
      </c>
      <c r="G84" s="10" t="s">
        <v>27</v>
      </c>
      <c r="H84" s="10" t="s">
        <v>30</v>
      </c>
      <c r="I84" s="12" t="s">
        <v>32</v>
      </c>
      <c r="J84" s="10" t="s">
        <v>26</v>
      </c>
      <c r="K84" s="12">
        <v>20.0</v>
      </c>
      <c r="L84" s="12">
        <v>10.0</v>
      </c>
      <c r="M84" s="12">
        <v>20.0</v>
      </c>
    </row>
    <row r="85" ht="16.5" hidden="1" customHeight="1">
      <c r="A85" s="10">
        <v>3314.0</v>
      </c>
      <c r="B85" s="10" t="s">
        <v>116</v>
      </c>
      <c r="C85" s="10" t="s">
        <v>29</v>
      </c>
      <c r="D85" s="11">
        <v>45431.0</v>
      </c>
      <c r="E85" s="10" t="s">
        <v>30</v>
      </c>
      <c r="F85" s="12">
        <v>5.0</v>
      </c>
      <c r="G85" s="10" t="s">
        <v>31</v>
      </c>
      <c r="H85" s="10" t="s">
        <v>30</v>
      </c>
      <c r="I85" s="12" t="s">
        <v>32</v>
      </c>
      <c r="J85" s="10" t="s">
        <v>30</v>
      </c>
      <c r="K85" s="12">
        <v>0.0</v>
      </c>
      <c r="L85" s="12">
        <v>0.0</v>
      </c>
      <c r="M85" s="12">
        <v>5.0</v>
      </c>
    </row>
    <row r="86" ht="16.5" customHeight="1">
      <c r="A86" s="10">
        <v>3315.0</v>
      </c>
      <c r="B86" s="10" t="s">
        <v>117</v>
      </c>
      <c r="C86" s="10" t="s">
        <v>25</v>
      </c>
      <c r="D86" s="11">
        <v>45432.0</v>
      </c>
      <c r="E86" s="10" t="s">
        <v>26</v>
      </c>
      <c r="F86" s="12">
        <v>15.0</v>
      </c>
      <c r="G86" s="10" t="s">
        <v>27</v>
      </c>
      <c r="H86" s="10" t="s">
        <v>26</v>
      </c>
      <c r="I86" s="12">
        <v>30.0</v>
      </c>
      <c r="J86" s="10" t="s">
        <v>26</v>
      </c>
      <c r="K86" s="12">
        <v>20.0</v>
      </c>
      <c r="L86" s="12">
        <v>20.0</v>
      </c>
      <c r="M86" s="12">
        <v>45.0</v>
      </c>
    </row>
    <row r="87" ht="16.5" hidden="1" customHeight="1">
      <c r="A87" s="10">
        <v>3316.0</v>
      </c>
      <c r="B87" s="10" t="s">
        <v>118</v>
      </c>
      <c r="C87" s="10" t="s">
        <v>34</v>
      </c>
      <c r="D87" s="11">
        <v>45433.0</v>
      </c>
      <c r="E87" s="10" t="s">
        <v>30</v>
      </c>
      <c r="F87" s="12">
        <v>10.0</v>
      </c>
      <c r="G87" s="10" t="s">
        <v>35</v>
      </c>
      <c r="H87" s="10" t="s">
        <v>30</v>
      </c>
      <c r="I87" s="12" t="s">
        <v>32</v>
      </c>
      <c r="J87" s="10" t="s">
        <v>26</v>
      </c>
      <c r="K87" s="12">
        <v>20.0</v>
      </c>
      <c r="L87" s="12">
        <v>15.0</v>
      </c>
      <c r="M87" s="12">
        <v>15.0</v>
      </c>
    </row>
    <row r="88" ht="16.5" hidden="1" customHeight="1">
      <c r="A88" s="10">
        <v>3317.0</v>
      </c>
      <c r="B88" s="10" t="s">
        <v>119</v>
      </c>
      <c r="C88" s="10" t="s">
        <v>29</v>
      </c>
      <c r="D88" s="11">
        <v>45434.0</v>
      </c>
      <c r="E88" s="10" t="s">
        <v>26</v>
      </c>
      <c r="F88" s="12">
        <v>5.0</v>
      </c>
      <c r="G88" s="10" t="s">
        <v>27</v>
      </c>
      <c r="H88" s="10" t="s">
        <v>30</v>
      </c>
      <c r="I88" s="12" t="s">
        <v>32</v>
      </c>
      <c r="J88" s="10" t="s">
        <v>30</v>
      </c>
      <c r="K88" s="12">
        <v>0.0</v>
      </c>
      <c r="L88" s="12">
        <v>1.0</v>
      </c>
      <c r="M88" s="12">
        <v>4.0</v>
      </c>
    </row>
    <row r="89" ht="16.5" customHeight="1">
      <c r="A89" s="10">
        <v>3318.0</v>
      </c>
      <c r="B89" s="10" t="s">
        <v>120</v>
      </c>
      <c r="C89" s="10" t="s">
        <v>25</v>
      </c>
      <c r="D89" s="11">
        <v>45435.0</v>
      </c>
      <c r="E89" s="10" t="s">
        <v>30</v>
      </c>
      <c r="F89" s="12">
        <v>15.0</v>
      </c>
      <c r="G89" s="10" t="s">
        <v>31</v>
      </c>
      <c r="H89" s="10" t="s">
        <v>26</v>
      </c>
      <c r="I89" s="12">
        <v>30.0</v>
      </c>
      <c r="J89" s="10" t="s">
        <v>26</v>
      </c>
      <c r="K89" s="12">
        <v>20.0</v>
      </c>
      <c r="L89" s="12">
        <v>3.0</v>
      </c>
      <c r="M89" s="12">
        <v>62.0</v>
      </c>
    </row>
    <row r="90" ht="16.5" hidden="1" customHeight="1">
      <c r="A90" s="10">
        <v>3319.0</v>
      </c>
      <c r="B90" s="10" t="s">
        <v>121</v>
      </c>
      <c r="C90" s="10" t="s">
        <v>34</v>
      </c>
      <c r="D90" s="11">
        <v>45436.0</v>
      </c>
      <c r="E90" s="10" t="s">
        <v>26</v>
      </c>
      <c r="F90" s="12">
        <v>10.0</v>
      </c>
      <c r="G90" s="10" t="s">
        <v>27</v>
      </c>
      <c r="H90" s="10" t="s">
        <v>30</v>
      </c>
      <c r="I90" s="12" t="s">
        <v>32</v>
      </c>
      <c r="J90" s="10" t="s">
        <v>26</v>
      </c>
      <c r="K90" s="12">
        <v>20.0</v>
      </c>
      <c r="L90" s="12">
        <v>10.0</v>
      </c>
      <c r="M90" s="12">
        <v>20.0</v>
      </c>
    </row>
    <row r="91" ht="16.5" hidden="1" customHeight="1">
      <c r="A91" s="10">
        <v>3320.0</v>
      </c>
      <c r="B91" s="10" t="s">
        <v>122</v>
      </c>
      <c r="C91" s="10" t="s">
        <v>29</v>
      </c>
      <c r="D91" s="11">
        <v>45437.0</v>
      </c>
      <c r="E91" s="10" t="s">
        <v>30</v>
      </c>
      <c r="F91" s="12">
        <v>5.0</v>
      </c>
      <c r="G91" s="10" t="s">
        <v>35</v>
      </c>
      <c r="H91" s="10" t="s">
        <v>30</v>
      </c>
      <c r="I91" s="12" t="s">
        <v>32</v>
      </c>
      <c r="J91" s="10" t="s">
        <v>30</v>
      </c>
      <c r="K91" s="12">
        <v>0.0</v>
      </c>
      <c r="L91" s="12">
        <v>0.0</v>
      </c>
      <c r="M91" s="12">
        <v>5.0</v>
      </c>
    </row>
    <row r="92" ht="16.5" customHeight="1">
      <c r="A92" s="10">
        <v>3321.0</v>
      </c>
      <c r="B92" s="10" t="s">
        <v>123</v>
      </c>
      <c r="C92" s="10" t="s">
        <v>25</v>
      </c>
      <c r="D92" s="11">
        <v>45438.0</v>
      </c>
      <c r="E92" s="10" t="s">
        <v>26</v>
      </c>
      <c r="F92" s="12">
        <v>15.0</v>
      </c>
      <c r="G92" s="10" t="s">
        <v>27</v>
      </c>
      <c r="H92" s="10" t="s">
        <v>26</v>
      </c>
      <c r="I92" s="12">
        <v>30.0</v>
      </c>
      <c r="J92" s="10" t="s">
        <v>26</v>
      </c>
      <c r="K92" s="12">
        <v>20.0</v>
      </c>
      <c r="L92" s="12">
        <v>5.0</v>
      </c>
      <c r="M92" s="12">
        <v>60.0</v>
      </c>
    </row>
    <row r="93" ht="16.5" hidden="1" customHeight="1">
      <c r="A93" s="10">
        <v>3322.0</v>
      </c>
      <c r="B93" s="10" t="s">
        <v>124</v>
      </c>
      <c r="C93" s="10" t="s">
        <v>34</v>
      </c>
      <c r="D93" s="11">
        <v>45439.0</v>
      </c>
      <c r="E93" s="10" t="s">
        <v>30</v>
      </c>
      <c r="F93" s="12">
        <v>10.0</v>
      </c>
      <c r="G93" s="10" t="s">
        <v>31</v>
      </c>
      <c r="H93" s="10" t="s">
        <v>30</v>
      </c>
      <c r="I93" s="12" t="s">
        <v>32</v>
      </c>
      <c r="J93" s="10" t="s">
        <v>26</v>
      </c>
      <c r="K93" s="12">
        <v>20.0</v>
      </c>
      <c r="L93" s="12">
        <v>15.0</v>
      </c>
      <c r="M93" s="12">
        <v>15.0</v>
      </c>
    </row>
    <row r="94" ht="16.5" hidden="1" customHeight="1">
      <c r="A94" s="10">
        <v>3323.0</v>
      </c>
      <c r="B94" s="10" t="s">
        <v>125</v>
      </c>
      <c r="C94" s="10" t="s">
        <v>29</v>
      </c>
      <c r="D94" s="11">
        <v>45440.0</v>
      </c>
      <c r="E94" s="10" t="s">
        <v>26</v>
      </c>
      <c r="F94" s="12">
        <v>5.0</v>
      </c>
      <c r="G94" s="10" t="s">
        <v>27</v>
      </c>
      <c r="H94" s="10" t="s">
        <v>30</v>
      </c>
      <c r="I94" s="12" t="s">
        <v>32</v>
      </c>
      <c r="J94" s="10" t="s">
        <v>30</v>
      </c>
      <c r="K94" s="12">
        <v>0.0</v>
      </c>
      <c r="L94" s="12">
        <v>1.0</v>
      </c>
      <c r="M94" s="12">
        <v>4.0</v>
      </c>
    </row>
    <row r="95" ht="16.5" customHeight="1">
      <c r="A95" s="10">
        <v>3324.0</v>
      </c>
      <c r="B95" s="10" t="s">
        <v>126</v>
      </c>
      <c r="C95" s="10" t="s">
        <v>25</v>
      </c>
      <c r="D95" s="11">
        <v>45441.0</v>
      </c>
      <c r="E95" s="10" t="s">
        <v>30</v>
      </c>
      <c r="F95" s="12">
        <v>15.0</v>
      </c>
      <c r="G95" s="10" t="s">
        <v>35</v>
      </c>
      <c r="H95" s="10" t="s">
        <v>26</v>
      </c>
      <c r="I95" s="12">
        <v>30.0</v>
      </c>
      <c r="J95" s="10" t="s">
        <v>26</v>
      </c>
      <c r="K95" s="12">
        <v>20.0</v>
      </c>
      <c r="L95" s="12">
        <v>20.0</v>
      </c>
      <c r="M95" s="12">
        <v>45.0</v>
      </c>
    </row>
    <row r="96" ht="16.5" hidden="1" customHeight="1">
      <c r="A96" s="10">
        <v>3325.0</v>
      </c>
      <c r="B96" s="10" t="s">
        <v>127</v>
      </c>
      <c r="C96" s="10" t="s">
        <v>34</v>
      </c>
      <c r="D96" s="11">
        <v>45442.0</v>
      </c>
      <c r="E96" s="10" t="s">
        <v>26</v>
      </c>
      <c r="F96" s="12">
        <v>10.0</v>
      </c>
      <c r="G96" s="10" t="s">
        <v>35</v>
      </c>
      <c r="H96" s="10" t="s">
        <v>30</v>
      </c>
      <c r="I96" s="12" t="s">
        <v>32</v>
      </c>
      <c r="J96" s="10" t="s">
        <v>26</v>
      </c>
      <c r="K96" s="12">
        <v>20.0</v>
      </c>
      <c r="L96" s="12">
        <v>15.0</v>
      </c>
      <c r="M96" s="12">
        <v>15.0</v>
      </c>
    </row>
    <row r="97" ht="16.5" hidden="1" customHeight="1">
      <c r="A97" s="10">
        <v>3326.0</v>
      </c>
      <c r="B97" s="10" t="s">
        <v>128</v>
      </c>
      <c r="C97" s="10" t="s">
        <v>29</v>
      </c>
      <c r="D97" s="11">
        <v>45443.0</v>
      </c>
      <c r="E97" s="10" t="s">
        <v>30</v>
      </c>
      <c r="F97" s="12">
        <v>5.0</v>
      </c>
      <c r="G97" s="10" t="s">
        <v>31</v>
      </c>
      <c r="H97" s="10" t="s">
        <v>30</v>
      </c>
      <c r="I97" s="12" t="s">
        <v>32</v>
      </c>
      <c r="J97" s="10" t="s">
        <v>30</v>
      </c>
      <c r="K97" s="12">
        <v>0.0</v>
      </c>
      <c r="L97" s="12">
        <v>0.0</v>
      </c>
      <c r="M97" s="12">
        <v>5.0</v>
      </c>
    </row>
    <row r="98" ht="16.5" customHeight="1">
      <c r="A98" s="10">
        <v>3327.0</v>
      </c>
      <c r="B98" s="10" t="s">
        <v>129</v>
      </c>
      <c r="C98" s="10" t="s">
        <v>25</v>
      </c>
      <c r="D98" s="11">
        <v>45444.0</v>
      </c>
      <c r="E98" s="10" t="s">
        <v>26</v>
      </c>
      <c r="F98" s="12">
        <v>15.0</v>
      </c>
      <c r="G98" s="10" t="s">
        <v>27</v>
      </c>
      <c r="H98" s="10" t="s">
        <v>26</v>
      </c>
      <c r="I98" s="12">
        <v>30.0</v>
      </c>
      <c r="J98" s="10" t="s">
        <v>26</v>
      </c>
      <c r="K98" s="12">
        <v>20.0</v>
      </c>
      <c r="L98" s="12">
        <v>7.0</v>
      </c>
      <c r="M98" s="12">
        <v>58.0</v>
      </c>
    </row>
    <row r="99" ht="16.5" hidden="1" customHeight="1">
      <c r="A99" s="10">
        <v>3328.0</v>
      </c>
      <c r="B99" s="10" t="s">
        <v>130</v>
      </c>
      <c r="C99" s="10" t="s">
        <v>34</v>
      </c>
      <c r="D99" s="11">
        <v>45445.0</v>
      </c>
      <c r="E99" s="10" t="s">
        <v>30</v>
      </c>
      <c r="F99" s="12">
        <v>10.0</v>
      </c>
      <c r="G99" s="10" t="s">
        <v>31</v>
      </c>
      <c r="H99" s="10" t="s">
        <v>30</v>
      </c>
      <c r="I99" s="12" t="s">
        <v>32</v>
      </c>
      <c r="J99" s="10" t="s">
        <v>26</v>
      </c>
      <c r="K99" s="12">
        <v>20.0</v>
      </c>
      <c r="L99" s="12">
        <v>10.0</v>
      </c>
      <c r="M99" s="12">
        <v>20.0</v>
      </c>
    </row>
    <row r="100" ht="16.5" hidden="1" customHeight="1">
      <c r="A100" s="10">
        <v>3329.0</v>
      </c>
      <c r="B100" s="10" t="s">
        <v>131</v>
      </c>
      <c r="C100" s="10" t="s">
        <v>29</v>
      </c>
      <c r="D100" s="11">
        <v>45446.0</v>
      </c>
      <c r="E100" s="10" t="s">
        <v>26</v>
      </c>
      <c r="F100" s="12">
        <v>5.0</v>
      </c>
      <c r="G100" s="10" t="s">
        <v>35</v>
      </c>
      <c r="H100" s="10" t="s">
        <v>30</v>
      </c>
      <c r="I100" s="12" t="s">
        <v>32</v>
      </c>
      <c r="J100" s="10" t="s">
        <v>30</v>
      </c>
      <c r="K100" s="12">
        <v>0.0</v>
      </c>
      <c r="L100" s="12">
        <v>1.0</v>
      </c>
      <c r="M100" s="12">
        <v>4.0</v>
      </c>
    </row>
    <row r="101" ht="16.5" customHeight="1">
      <c r="A101" s="10">
        <v>3330.0</v>
      </c>
      <c r="B101" s="10" t="s">
        <v>132</v>
      </c>
      <c r="C101" s="10" t="s">
        <v>25</v>
      </c>
      <c r="D101" s="11">
        <v>45447.0</v>
      </c>
      <c r="E101" s="10" t="s">
        <v>30</v>
      </c>
      <c r="F101" s="12">
        <v>15.0</v>
      </c>
      <c r="G101" s="10" t="s">
        <v>27</v>
      </c>
      <c r="H101" s="10" t="s">
        <v>26</v>
      </c>
      <c r="I101" s="12">
        <v>30.0</v>
      </c>
      <c r="J101" s="10" t="s">
        <v>26</v>
      </c>
      <c r="K101" s="12">
        <v>20.0</v>
      </c>
      <c r="L101" s="12">
        <v>15.0</v>
      </c>
      <c r="M101" s="12">
        <v>50.0</v>
      </c>
    </row>
    <row r="102" ht="16.5" hidden="1" customHeight="1">
      <c r="A102" s="10">
        <v>3331.0</v>
      </c>
      <c r="B102" s="10" t="s">
        <v>133</v>
      </c>
      <c r="C102" s="10" t="s">
        <v>34</v>
      </c>
      <c r="D102" s="11">
        <v>45448.0</v>
      </c>
      <c r="E102" s="10" t="s">
        <v>26</v>
      </c>
      <c r="F102" s="12">
        <v>10.0</v>
      </c>
      <c r="G102" s="10" t="s">
        <v>27</v>
      </c>
      <c r="H102" s="10" t="s">
        <v>30</v>
      </c>
      <c r="I102" s="12" t="s">
        <v>32</v>
      </c>
      <c r="J102" s="10" t="s">
        <v>26</v>
      </c>
      <c r="K102" s="12">
        <v>20.0</v>
      </c>
      <c r="L102" s="12">
        <v>5.0</v>
      </c>
      <c r="M102" s="12">
        <v>25.0</v>
      </c>
    </row>
    <row r="103" ht="16.5" hidden="1" customHeight="1">
      <c r="A103" s="10">
        <v>3332.0</v>
      </c>
      <c r="B103" s="10" t="s">
        <v>134</v>
      </c>
      <c r="C103" s="10" t="s">
        <v>29</v>
      </c>
      <c r="D103" s="11">
        <v>45449.0</v>
      </c>
      <c r="E103" s="10" t="s">
        <v>30</v>
      </c>
      <c r="F103" s="12">
        <v>5.0</v>
      </c>
      <c r="G103" s="10" t="s">
        <v>31</v>
      </c>
      <c r="H103" s="10" t="s">
        <v>30</v>
      </c>
      <c r="I103" s="12" t="s">
        <v>32</v>
      </c>
      <c r="J103" s="10" t="s">
        <v>30</v>
      </c>
      <c r="K103" s="12">
        <v>0.0</v>
      </c>
      <c r="L103" s="12">
        <v>0.0</v>
      </c>
      <c r="M103" s="12">
        <v>5.0</v>
      </c>
    </row>
    <row r="104" ht="16.5" customHeight="1">
      <c r="A104" s="10">
        <v>3333.0</v>
      </c>
      <c r="B104" s="10" t="s">
        <v>135</v>
      </c>
      <c r="C104" s="10" t="s">
        <v>25</v>
      </c>
      <c r="D104" s="11">
        <v>45450.0</v>
      </c>
      <c r="E104" s="10" t="s">
        <v>26</v>
      </c>
      <c r="F104" s="12">
        <v>15.0</v>
      </c>
      <c r="G104" s="10" t="s">
        <v>35</v>
      </c>
      <c r="H104" s="10" t="s">
        <v>26</v>
      </c>
      <c r="I104" s="12">
        <v>30.0</v>
      </c>
      <c r="J104" s="10" t="s">
        <v>26</v>
      </c>
      <c r="K104" s="12">
        <v>20.0</v>
      </c>
      <c r="L104" s="12">
        <v>20.0</v>
      </c>
      <c r="M104" s="12">
        <v>45.0</v>
      </c>
    </row>
    <row r="105" ht="16.5" hidden="1" customHeight="1">
      <c r="A105" s="10">
        <v>3334.0</v>
      </c>
      <c r="B105" s="10" t="s">
        <v>136</v>
      </c>
      <c r="C105" s="10" t="s">
        <v>34</v>
      </c>
      <c r="D105" s="11">
        <v>45451.0</v>
      </c>
      <c r="E105" s="10" t="s">
        <v>30</v>
      </c>
      <c r="F105" s="12">
        <v>10.0</v>
      </c>
      <c r="G105" s="10" t="s">
        <v>35</v>
      </c>
      <c r="H105" s="10" t="s">
        <v>30</v>
      </c>
      <c r="I105" s="12" t="s">
        <v>32</v>
      </c>
      <c r="J105" s="10" t="s">
        <v>26</v>
      </c>
      <c r="K105" s="12">
        <v>20.0</v>
      </c>
      <c r="L105" s="12">
        <v>12.0</v>
      </c>
      <c r="M105" s="12">
        <v>18.0</v>
      </c>
    </row>
    <row r="106" ht="16.5" hidden="1" customHeight="1">
      <c r="A106" s="10">
        <v>3335.0</v>
      </c>
      <c r="B106" s="10" t="s">
        <v>137</v>
      </c>
      <c r="C106" s="10" t="s">
        <v>29</v>
      </c>
      <c r="D106" s="11">
        <v>45452.0</v>
      </c>
      <c r="E106" s="10" t="s">
        <v>26</v>
      </c>
      <c r="F106" s="12">
        <v>5.0</v>
      </c>
      <c r="G106" s="10" t="s">
        <v>27</v>
      </c>
      <c r="H106" s="10" t="s">
        <v>30</v>
      </c>
      <c r="I106" s="12" t="s">
        <v>32</v>
      </c>
      <c r="J106" s="10" t="s">
        <v>30</v>
      </c>
      <c r="K106" s="12">
        <v>0.0</v>
      </c>
      <c r="L106" s="12">
        <v>2.0</v>
      </c>
      <c r="M106" s="12">
        <v>3.0</v>
      </c>
    </row>
    <row r="107" ht="16.5" hidden="1" customHeight="1">
      <c r="A107" s="10">
        <v>3336.0</v>
      </c>
      <c r="B107" s="10" t="s">
        <v>138</v>
      </c>
      <c r="C107" s="10" t="s">
        <v>29</v>
      </c>
      <c r="D107" s="11">
        <v>45453.0</v>
      </c>
      <c r="E107" s="10" t="s">
        <v>26</v>
      </c>
      <c r="F107" s="12">
        <v>5.0</v>
      </c>
      <c r="G107" s="10" t="s">
        <v>27</v>
      </c>
      <c r="H107" s="10" t="s">
        <v>30</v>
      </c>
      <c r="I107" s="12" t="s">
        <v>32</v>
      </c>
      <c r="J107" s="10" t="s">
        <v>30</v>
      </c>
      <c r="K107" s="12">
        <v>0.0</v>
      </c>
      <c r="L107" s="12">
        <v>0.0</v>
      </c>
      <c r="M107" s="12">
        <v>5.0</v>
      </c>
    </row>
    <row r="108" ht="16.5" customHeight="1">
      <c r="A108" s="10">
        <v>3337.0</v>
      </c>
      <c r="B108" s="10" t="s">
        <v>139</v>
      </c>
      <c r="C108" s="10" t="s">
        <v>25</v>
      </c>
      <c r="D108" s="11">
        <v>45454.0</v>
      </c>
      <c r="E108" s="10" t="s">
        <v>30</v>
      </c>
      <c r="F108" s="12">
        <v>15.0</v>
      </c>
      <c r="G108" s="10" t="s">
        <v>35</v>
      </c>
      <c r="H108" s="10" t="s">
        <v>26</v>
      </c>
      <c r="I108" s="12">
        <v>30.0</v>
      </c>
      <c r="J108" s="10" t="s">
        <v>26</v>
      </c>
      <c r="K108" s="12">
        <v>20.0</v>
      </c>
      <c r="L108" s="12">
        <v>7.0</v>
      </c>
      <c r="M108" s="12">
        <v>58.0</v>
      </c>
    </row>
    <row r="109" ht="16.5" hidden="1" customHeight="1">
      <c r="A109" s="10">
        <v>3338.0</v>
      </c>
      <c r="B109" s="10" t="s">
        <v>140</v>
      </c>
      <c r="C109" s="10" t="s">
        <v>34</v>
      </c>
      <c r="D109" s="11">
        <v>45455.0</v>
      </c>
      <c r="E109" s="10" t="s">
        <v>26</v>
      </c>
      <c r="F109" s="12">
        <v>10.0</v>
      </c>
      <c r="G109" s="10" t="s">
        <v>31</v>
      </c>
      <c r="H109" s="10" t="s">
        <v>30</v>
      </c>
      <c r="I109" s="12" t="s">
        <v>32</v>
      </c>
      <c r="J109" s="10" t="s">
        <v>26</v>
      </c>
      <c r="K109" s="12">
        <v>20.0</v>
      </c>
      <c r="L109" s="12">
        <v>10.0</v>
      </c>
      <c r="M109" s="12">
        <v>20.0</v>
      </c>
    </row>
    <row r="110" ht="16.5" hidden="1" customHeight="1">
      <c r="A110" s="10">
        <v>3339.0</v>
      </c>
      <c r="B110" s="10" t="s">
        <v>141</v>
      </c>
      <c r="C110" s="10" t="s">
        <v>29</v>
      </c>
      <c r="D110" s="11">
        <v>45456.0</v>
      </c>
      <c r="E110" s="10" t="s">
        <v>30</v>
      </c>
      <c r="F110" s="12">
        <v>5.0</v>
      </c>
      <c r="G110" s="10" t="s">
        <v>35</v>
      </c>
      <c r="H110" s="10" t="s">
        <v>30</v>
      </c>
      <c r="I110" s="12" t="s">
        <v>32</v>
      </c>
      <c r="J110" s="10" t="s">
        <v>30</v>
      </c>
      <c r="K110" s="12">
        <v>0.0</v>
      </c>
      <c r="L110" s="12">
        <v>1.0</v>
      </c>
      <c r="M110" s="12">
        <v>4.0</v>
      </c>
    </row>
    <row r="111" ht="16.5" customHeight="1">
      <c r="A111" s="10">
        <v>3340.0</v>
      </c>
      <c r="B111" s="10" t="s">
        <v>142</v>
      </c>
      <c r="C111" s="10" t="s">
        <v>25</v>
      </c>
      <c r="D111" s="11">
        <v>45457.0</v>
      </c>
      <c r="E111" s="10" t="s">
        <v>26</v>
      </c>
      <c r="F111" s="12">
        <v>15.0</v>
      </c>
      <c r="G111" s="10" t="s">
        <v>27</v>
      </c>
      <c r="H111" s="10" t="s">
        <v>26</v>
      </c>
      <c r="I111" s="12">
        <v>30.0</v>
      </c>
      <c r="J111" s="10" t="s">
        <v>26</v>
      </c>
      <c r="K111" s="12">
        <v>20.0</v>
      </c>
      <c r="L111" s="12">
        <v>15.0</v>
      </c>
      <c r="M111" s="12">
        <v>50.0</v>
      </c>
    </row>
    <row r="112" ht="16.5" hidden="1" customHeight="1">
      <c r="A112" s="10">
        <v>3341.0</v>
      </c>
      <c r="B112" s="10" t="s">
        <v>143</v>
      </c>
      <c r="C112" s="10" t="s">
        <v>34</v>
      </c>
      <c r="D112" s="11">
        <v>45458.0</v>
      </c>
      <c r="E112" s="10" t="s">
        <v>30</v>
      </c>
      <c r="F112" s="12">
        <v>10.0</v>
      </c>
      <c r="G112" s="10" t="s">
        <v>27</v>
      </c>
      <c r="H112" s="10" t="s">
        <v>30</v>
      </c>
      <c r="I112" s="12" t="s">
        <v>32</v>
      </c>
      <c r="J112" s="10" t="s">
        <v>26</v>
      </c>
      <c r="K112" s="12">
        <v>20.0</v>
      </c>
      <c r="L112" s="12">
        <v>5.0</v>
      </c>
      <c r="M112" s="12">
        <v>25.0</v>
      </c>
    </row>
    <row r="113" ht="16.5" hidden="1" customHeight="1">
      <c r="A113" s="10">
        <v>3342.0</v>
      </c>
      <c r="B113" s="10" t="s">
        <v>144</v>
      </c>
      <c r="C113" s="10" t="s">
        <v>29</v>
      </c>
      <c r="D113" s="11">
        <v>45459.0</v>
      </c>
      <c r="E113" s="10" t="s">
        <v>26</v>
      </c>
      <c r="F113" s="12">
        <v>5.0</v>
      </c>
      <c r="G113" s="10" t="s">
        <v>31</v>
      </c>
      <c r="H113" s="10" t="s">
        <v>30</v>
      </c>
      <c r="I113" s="12" t="s">
        <v>32</v>
      </c>
      <c r="J113" s="10" t="s">
        <v>30</v>
      </c>
      <c r="K113" s="12">
        <v>0.0</v>
      </c>
      <c r="L113" s="12">
        <v>0.0</v>
      </c>
      <c r="M113" s="12">
        <v>5.0</v>
      </c>
    </row>
    <row r="114" ht="16.5" customHeight="1">
      <c r="A114" s="10">
        <v>3343.0</v>
      </c>
      <c r="B114" s="10" t="s">
        <v>145</v>
      </c>
      <c r="C114" s="10" t="s">
        <v>25</v>
      </c>
      <c r="D114" s="11">
        <v>45460.0</v>
      </c>
      <c r="E114" s="10" t="s">
        <v>30</v>
      </c>
      <c r="F114" s="12">
        <v>15.0</v>
      </c>
      <c r="G114" s="10" t="s">
        <v>35</v>
      </c>
      <c r="H114" s="10" t="s">
        <v>26</v>
      </c>
      <c r="I114" s="12">
        <v>30.0</v>
      </c>
      <c r="J114" s="10" t="s">
        <v>26</v>
      </c>
      <c r="K114" s="12">
        <v>20.0</v>
      </c>
      <c r="L114" s="12">
        <v>20.0</v>
      </c>
      <c r="M114" s="12">
        <v>45.0</v>
      </c>
    </row>
    <row r="115" ht="16.5" hidden="1" customHeight="1">
      <c r="A115" s="10">
        <v>3344.0</v>
      </c>
      <c r="B115" s="10" t="s">
        <v>146</v>
      </c>
      <c r="C115" s="10" t="s">
        <v>34</v>
      </c>
      <c r="D115" s="11">
        <v>45461.0</v>
      </c>
      <c r="E115" s="10" t="s">
        <v>26</v>
      </c>
      <c r="F115" s="12">
        <v>10.0</v>
      </c>
      <c r="G115" s="10" t="s">
        <v>35</v>
      </c>
      <c r="H115" s="10" t="s">
        <v>30</v>
      </c>
      <c r="I115" s="12" t="s">
        <v>32</v>
      </c>
      <c r="J115" s="10" t="s">
        <v>26</v>
      </c>
      <c r="K115" s="12">
        <v>20.0</v>
      </c>
      <c r="L115" s="12">
        <v>12.0</v>
      </c>
      <c r="M115" s="12">
        <v>18.0</v>
      </c>
    </row>
    <row r="116" ht="16.5" hidden="1" customHeight="1">
      <c r="A116" s="10">
        <v>3345.0</v>
      </c>
      <c r="B116" s="10" t="s">
        <v>147</v>
      </c>
      <c r="C116" s="10" t="s">
        <v>29</v>
      </c>
      <c r="D116" s="11">
        <v>45462.0</v>
      </c>
      <c r="E116" s="10" t="s">
        <v>30</v>
      </c>
      <c r="F116" s="12">
        <v>5.0</v>
      </c>
      <c r="G116" s="10" t="s">
        <v>27</v>
      </c>
      <c r="H116" s="10" t="s">
        <v>30</v>
      </c>
      <c r="I116" s="12" t="s">
        <v>32</v>
      </c>
      <c r="J116" s="10" t="s">
        <v>30</v>
      </c>
      <c r="K116" s="12">
        <v>0.0</v>
      </c>
      <c r="L116" s="12">
        <v>2.0</v>
      </c>
      <c r="M116" s="12">
        <v>3.0</v>
      </c>
    </row>
    <row r="117" ht="16.5" customHeight="1">
      <c r="A117" s="10">
        <v>3346.0</v>
      </c>
      <c r="B117" s="10" t="s">
        <v>148</v>
      </c>
      <c r="C117" s="10" t="s">
        <v>25</v>
      </c>
      <c r="D117" s="11">
        <v>45463.0</v>
      </c>
      <c r="E117" s="10" t="s">
        <v>26</v>
      </c>
      <c r="F117" s="12">
        <v>15.0</v>
      </c>
      <c r="G117" s="10" t="s">
        <v>31</v>
      </c>
      <c r="H117" s="10" t="s">
        <v>26</v>
      </c>
      <c r="I117" s="12">
        <v>30.0</v>
      </c>
      <c r="J117" s="10" t="s">
        <v>26</v>
      </c>
      <c r="K117" s="12">
        <v>20.0</v>
      </c>
      <c r="L117" s="12">
        <v>5.0</v>
      </c>
      <c r="M117" s="12">
        <v>60.0</v>
      </c>
    </row>
    <row r="118" ht="16.5" hidden="1" customHeight="1">
      <c r="A118" s="10">
        <v>3347.0</v>
      </c>
      <c r="B118" s="10" t="s">
        <v>149</v>
      </c>
      <c r="C118" s="10" t="s">
        <v>34</v>
      </c>
      <c r="D118" s="11">
        <v>45464.0</v>
      </c>
      <c r="E118" s="10" t="s">
        <v>30</v>
      </c>
      <c r="F118" s="12">
        <v>10.0</v>
      </c>
      <c r="G118" s="10" t="s">
        <v>27</v>
      </c>
      <c r="H118" s="10" t="s">
        <v>30</v>
      </c>
      <c r="I118" s="12" t="s">
        <v>32</v>
      </c>
      <c r="J118" s="10" t="s">
        <v>26</v>
      </c>
      <c r="K118" s="12">
        <v>20.0</v>
      </c>
      <c r="L118" s="12">
        <v>10.0</v>
      </c>
      <c r="M118" s="12">
        <v>20.0</v>
      </c>
    </row>
    <row r="119" ht="16.5" hidden="1" customHeight="1">
      <c r="A119" s="10">
        <v>3348.0</v>
      </c>
      <c r="B119" s="10" t="s">
        <v>150</v>
      </c>
      <c r="C119" s="10" t="s">
        <v>29</v>
      </c>
      <c r="D119" s="11">
        <v>45465.0</v>
      </c>
      <c r="E119" s="10" t="s">
        <v>26</v>
      </c>
      <c r="F119" s="12">
        <v>5.0</v>
      </c>
      <c r="G119" s="10" t="s">
        <v>35</v>
      </c>
      <c r="H119" s="10" t="s">
        <v>30</v>
      </c>
      <c r="I119" s="12" t="s">
        <v>32</v>
      </c>
      <c r="J119" s="10" t="s">
        <v>30</v>
      </c>
      <c r="K119" s="12">
        <v>0.0</v>
      </c>
      <c r="L119" s="12">
        <v>0.0</v>
      </c>
      <c r="M119" s="12">
        <v>5.0</v>
      </c>
    </row>
    <row r="120" ht="16.5" customHeight="1">
      <c r="A120" s="10">
        <v>3349.0</v>
      </c>
      <c r="B120" s="10" t="s">
        <v>126</v>
      </c>
      <c r="C120" s="10" t="s">
        <v>25</v>
      </c>
      <c r="D120" s="11">
        <v>45466.0</v>
      </c>
      <c r="E120" s="10" t="s">
        <v>30</v>
      </c>
      <c r="F120" s="12">
        <v>15.0</v>
      </c>
      <c r="G120" s="10" t="s">
        <v>27</v>
      </c>
      <c r="H120" s="10" t="s">
        <v>26</v>
      </c>
      <c r="I120" s="12">
        <v>30.0</v>
      </c>
      <c r="J120" s="10" t="s">
        <v>26</v>
      </c>
      <c r="K120" s="12">
        <v>20.0</v>
      </c>
      <c r="L120" s="12">
        <v>3.0</v>
      </c>
      <c r="M120" s="12">
        <v>62.0</v>
      </c>
    </row>
    <row r="121" ht="16.5" hidden="1" customHeight="1">
      <c r="A121" s="10">
        <v>3350.0</v>
      </c>
      <c r="B121" s="10" t="s">
        <v>151</v>
      </c>
      <c r="C121" s="10" t="s">
        <v>34</v>
      </c>
      <c r="D121" s="11">
        <v>45467.0</v>
      </c>
      <c r="E121" s="10" t="s">
        <v>26</v>
      </c>
      <c r="F121" s="12">
        <v>10.0</v>
      </c>
      <c r="G121" s="10" t="s">
        <v>31</v>
      </c>
      <c r="H121" s="10" t="s">
        <v>30</v>
      </c>
      <c r="I121" s="12" t="s">
        <v>32</v>
      </c>
      <c r="J121" s="10" t="s">
        <v>26</v>
      </c>
      <c r="K121" s="12">
        <v>20.0</v>
      </c>
      <c r="L121" s="12">
        <v>15.0</v>
      </c>
      <c r="M121" s="12">
        <v>15.0</v>
      </c>
    </row>
    <row r="122" ht="16.5" hidden="1" customHeight="1">
      <c r="A122" s="10">
        <v>3351.0</v>
      </c>
      <c r="B122" s="10" t="s">
        <v>152</v>
      </c>
      <c r="C122" s="10" t="s">
        <v>29</v>
      </c>
      <c r="D122" s="11">
        <v>45468.0</v>
      </c>
      <c r="E122" s="10" t="s">
        <v>30</v>
      </c>
      <c r="F122" s="12">
        <v>5.0</v>
      </c>
      <c r="G122" s="10" t="s">
        <v>27</v>
      </c>
      <c r="H122" s="10" t="s">
        <v>30</v>
      </c>
      <c r="I122" s="12" t="s">
        <v>32</v>
      </c>
      <c r="J122" s="10" t="s">
        <v>30</v>
      </c>
      <c r="K122" s="12">
        <v>0.0</v>
      </c>
      <c r="L122" s="12">
        <v>1.0</v>
      </c>
      <c r="M122" s="12">
        <v>4.0</v>
      </c>
    </row>
    <row r="123" ht="16.5" customHeight="1">
      <c r="A123" s="10">
        <v>3352.0</v>
      </c>
      <c r="B123" s="10" t="s">
        <v>153</v>
      </c>
      <c r="C123" s="10" t="s">
        <v>25</v>
      </c>
      <c r="D123" s="11">
        <v>45469.0</v>
      </c>
      <c r="E123" s="10" t="s">
        <v>26</v>
      </c>
      <c r="F123" s="12">
        <v>15.0</v>
      </c>
      <c r="G123" s="10" t="s">
        <v>35</v>
      </c>
      <c r="H123" s="10" t="s">
        <v>26</v>
      </c>
      <c r="I123" s="12">
        <v>30.0</v>
      </c>
      <c r="J123" s="10" t="s">
        <v>26</v>
      </c>
      <c r="K123" s="12">
        <v>20.0</v>
      </c>
      <c r="L123" s="12">
        <v>7.0</v>
      </c>
      <c r="M123" s="12">
        <v>58.0</v>
      </c>
    </row>
    <row r="124" ht="16.5" hidden="1" customHeight="1">
      <c r="A124" s="10">
        <v>3353.0</v>
      </c>
      <c r="B124" s="10" t="s">
        <v>154</v>
      </c>
      <c r="C124" s="10" t="s">
        <v>34</v>
      </c>
      <c r="D124" s="11">
        <v>45470.0</v>
      </c>
      <c r="E124" s="10" t="s">
        <v>30</v>
      </c>
      <c r="F124" s="12">
        <v>10.0</v>
      </c>
      <c r="G124" s="10" t="s">
        <v>27</v>
      </c>
      <c r="H124" s="10" t="s">
        <v>30</v>
      </c>
      <c r="I124" s="12" t="s">
        <v>32</v>
      </c>
      <c r="J124" s="10" t="s">
        <v>26</v>
      </c>
      <c r="K124" s="12">
        <v>20.0</v>
      </c>
      <c r="L124" s="12">
        <v>10.0</v>
      </c>
      <c r="M124" s="12">
        <v>20.0</v>
      </c>
    </row>
    <row r="125" ht="16.5" hidden="1" customHeight="1">
      <c r="A125" s="10">
        <v>3354.0</v>
      </c>
      <c r="B125" s="10" t="s">
        <v>155</v>
      </c>
      <c r="C125" s="10" t="s">
        <v>29</v>
      </c>
      <c r="D125" s="11">
        <v>45471.0</v>
      </c>
      <c r="E125" s="10" t="s">
        <v>26</v>
      </c>
      <c r="F125" s="12">
        <v>5.0</v>
      </c>
      <c r="G125" s="10" t="s">
        <v>31</v>
      </c>
      <c r="H125" s="10" t="s">
        <v>30</v>
      </c>
      <c r="I125" s="12" t="s">
        <v>32</v>
      </c>
      <c r="J125" s="10" t="s">
        <v>30</v>
      </c>
      <c r="K125" s="12">
        <v>0.0</v>
      </c>
      <c r="L125" s="12">
        <v>0.0</v>
      </c>
      <c r="M125" s="12">
        <v>5.0</v>
      </c>
    </row>
    <row r="126" ht="16.5" customHeight="1">
      <c r="A126" s="10">
        <v>3355.0</v>
      </c>
      <c r="B126" s="10" t="s">
        <v>156</v>
      </c>
      <c r="C126" s="10" t="s">
        <v>25</v>
      </c>
      <c r="D126" s="11">
        <v>45472.0</v>
      </c>
      <c r="E126" s="10" t="s">
        <v>30</v>
      </c>
      <c r="F126" s="12">
        <v>15.0</v>
      </c>
      <c r="G126" s="10" t="s">
        <v>27</v>
      </c>
      <c r="H126" s="10" t="s">
        <v>26</v>
      </c>
      <c r="I126" s="12">
        <v>30.0</v>
      </c>
      <c r="J126" s="10" t="s">
        <v>26</v>
      </c>
      <c r="K126" s="12">
        <v>20.0</v>
      </c>
      <c r="L126" s="12">
        <v>20.0</v>
      </c>
      <c r="M126" s="12">
        <v>45.0</v>
      </c>
    </row>
    <row r="127" ht="16.5" hidden="1" customHeight="1">
      <c r="A127" s="10">
        <v>3356.0</v>
      </c>
      <c r="B127" s="10" t="s">
        <v>157</v>
      </c>
      <c r="C127" s="10" t="s">
        <v>34</v>
      </c>
      <c r="D127" s="11">
        <v>45473.0</v>
      </c>
      <c r="E127" s="10" t="s">
        <v>26</v>
      </c>
      <c r="F127" s="12">
        <v>10.0</v>
      </c>
      <c r="G127" s="10" t="s">
        <v>35</v>
      </c>
      <c r="H127" s="10" t="s">
        <v>30</v>
      </c>
      <c r="I127" s="12" t="s">
        <v>32</v>
      </c>
      <c r="J127" s="10" t="s">
        <v>26</v>
      </c>
      <c r="K127" s="12">
        <v>20.0</v>
      </c>
      <c r="L127" s="12">
        <v>15.0</v>
      </c>
      <c r="M127" s="12">
        <v>15.0</v>
      </c>
    </row>
    <row r="128" ht="16.5" hidden="1" customHeight="1">
      <c r="A128" s="10">
        <v>3357.0</v>
      </c>
      <c r="B128" s="10" t="s">
        <v>158</v>
      </c>
      <c r="C128" s="10" t="s">
        <v>29</v>
      </c>
      <c r="D128" s="11">
        <v>45474.0</v>
      </c>
      <c r="E128" s="10" t="s">
        <v>30</v>
      </c>
      <c r="F128" s="12">
        <v>5.0</v>
      </c>
      <c r="G128" s="10" t="s">
        <v>27</v>
      </c>
      <c r="H128" s="10" t="s">
        <v>30</v>
      </c>
      <c r="I128" s="12" t="s">
        <v>32</v>
      </c>
      <c r="J128" s="10" t="s">
        <v>30</v>
      </c>
      <c r="K128" s="12">
        <v>0.0</v>
      </c>
      <c r="L128" s="12">
        <v>1.0</v>
      </c>
      <c r="M128" s="12">
        <v>4.0</v>
      </c>
    </row>
    <row r="129" ht="16.5" customHeight="1">
      <c r="A129" s="10">
        <v>3358.0</v>
      </c>
      <c r="B129" s="10" t="s">
        <v>159</v>
      </c>
      <c r="C129" s="10" t="s">
        <v>25</v>
      </c>
      <c r="D129" s="11">
        <v>45475.0</v>
      </c>
      <c r="E129" s="10" t="s">
        <v>26</v>
      </c>
      <c r="F129" s="12">
        <v>15.0</v>
      </c>
      <c r="G129" s="10" t="s">
        <v>31</v>
      </c>
      <c r="H129" s="10" t="s">
        <v>26</v>
      </c>
      <c r="I129" s="12">
        <v>30.0</v>
      </c>
      <c r="J129" s="10" t="s">
        <v>26</v>
      </c>
      <c r="K129" s="12">
        <v>20.0</v>
      </c>
      <c r="L129" s="12">
        <v>3.0</v>
      </c>
      <c r="M129" s="12">
        <v>62.0</v>
      </c>
    </row>
    <row r="130" ht="16.5" hidden="1" customHeight="1">
      <c r="A130" s="10">
        <v>3359.0</v>
      </c>
      <c r="B130" s="10" t="s">
        <v>160</v>
      </c>
      <c r="C130" s="10" t="s">
        <v>34</v>
      </c>
      <c r="D130" s="11">
        <v>45476.0</v>
      </c>
      <c r="E130" s="10" t="s">
        <v>30</v>
      </c>
      <c r="F130" s="12">
        <v>10.0</v>
      </c>
      <c r="G130" s="10" t="s">
        <v>27</v>
      </c>
      <c r="H130" s="10" t="s">
        <v>30</v>
      </c>
      <c r="I130" s="12" t="s">
        <v>32</v>
      </c>
      <c r="J130" s="10" t="s">
        <v>26</v>
      </c>
      <c r="K130" s="12">
        <v>20.0</v>
      </c>
      <c r="L130" s="12">
        <v>10.0</v>
      </c>
      <c r="M130" s="12">
        <v>20.0</v>
      </c>
    </row>
    <row r="131" ht="16.5" hidden="1" customHeight="1">
      <c r="A131" s="10">
        <v>3360.0</v>
      </c>
      <c r="B131" s="10" t="s">
        <v>161</v>
      </c>
      <c r="C131" s="10" t="s">
        <v>29</v>
      </c>
      <c r="D131" s="11">
        <v>45477.0</v>
      </c>
      <c r="E131" s="10" t="s">
        <v>26</v>
      </c>
      <c r="F131" s="12">
        <v>5.0</v>
      </c>
      <c r="G131" s="10" t="s">
        <v>35</v>
      </c>
      <c r="H131" s="10" t="s">
        <v>30</v>
      </c>
      <c r="I131" s="12" t="s">
        <v>32</v>
      </c>
      <c r="J131" s="10" t="s">
        <v>30</v>
      </c>
      <c r="K131" s="12">
        <v>0.0</v>
      </c>
      <c r="L131" s="12">
        <v>0.0</v>
      </c>
      <c r="M131" s="12">
        <v>5.0</v>
      </c>
    </row>
    <row r="132" ht="16.5" customHeight="1">
      <c r="A132" s="10">
        <v>3361.0</v>
      </c>
      <c r="B132" s="10" t="s">
        <v>162</v>
      </c>
      <c r="C132" s="10" t="s">
        <v>25</v>
      </c>
      <c r="D132" s="11">
        <v>45478.0</v>
      </c>
      <c r="E132" s="10" t="s">
        <v>30</v>
      </c>
      <c r="F132" s="12">
        <v>15.0</v>
      </c>
      <c r="G132" s="10" t="s">
        <v>27</v>
      </c>
      <c r="H132" s="10" t="s">
        <v>26</v>
      </c>
      <c r="I132" s="12">
        <v>30.0</v>
      </c>
      <c r="J132" s="10" t="s">
        <v>26</v>
      </c>
      <c r="K132" s="12">
        <v>20.0</v>
      </c>
      <c r="L132" s="12">
        <v>15.0</v>
      </c>
      <c r="M132" s="12">
        <v>50.0</v>
      </c>
    </row>
    <row r="133" ht="16.5" hidden="1" customHeight="1">
      <c r="A133" s="10">
        <v>3362.0</v>
      </c>
      <c r="B133" s="10" t="s">
        <v>163</v>
      </c>
      <c r="C133" s="10" t="s">
        <v>34</v>
      </c>
      <c r="D133" s="11">
        <v>45479.0</v>
      </c>
      <c r="E133" s="10" t="s">
        <v>26</v>
      </c>
      <c r="F133" s="12">
        <v>10.0</v>
      </c>
      <c r="G133" s="10" t="s">
        <v>31</v>
      </c>
      <c r="H133" s="10" t="s">
        <v>30</v>
      </c>
      <c r="I133" s="12" t="s">
        <v>32</v>
      </c>
      <c r="J133" s="10" t="s">
        <v>26</v>
      </c>
      <c r="K133" s="12">
        <v>20.0</v>
      </c>
      <c r="L133" s="12">
        <v>15.0</v>
      </c>
      <c r="M133" s="12">
        <v>15.0</v>
      </c>
    </row>
    <row r="134" ht="16.5" hidden="1" customHeight="1">
      <c r="A134" s="10">
        <v>3363.0</v>
      </c>
      <c r="B134" s="10" t="s">
        <v>164</v>
      </c>
      <c r="C134" s="10" t="s">
        <v>29</v>
      </c>
      <c r="D134" s="11">
        <v>45480.0</v>
      </c>
      <c r="E134" s="10" t="s">
        <v>30</v>
      </c>
      <c r="F134" s="12">
        <v>5.0</v>
      </c>
      <c r="G134" s="10" t="s">
        <v>27</v>
      </c>
      <c r="H134" s="10" t="s">
        <v>30</v>
      </c>
      <c r="I134" s="12" t="s">
        <v>32</v>
      </c>
      <c r="J134" s="10" t="s">
        <v>30</v>
      </c>
      <c r="K134" s="12">
        <v>0.0</v>
      </c>
      <c r="L134" s="12">
        <v>1.0</v>
      </c>
      <c r="M134" s="12">
        <v>4.0</v>
      </c>
    </row>
    <row r="135" ht="16.5" customHeight="1">
      <c r="A135" s="10">
        <v>3364.0</v>
      </c>
      <c r="B135" s="10" t="s">
        <v>165</v>
      </c>
      <c r="C135" s="10" t="s">
        <v>25</v>
      </c>
      <c r="D135" s="11">
        <v>45481.0</v>
      </c>
      <c r="E135" s="10" t="s">
        <v>26</v>
      </c>
      <c r="F135" s="12">
        <v>15.0</v>
      </c>
      <c r="G135" s="10" t="s">
        <v>35</v>
      </c>
      <c r="H135" s="10" t="s">
        <v>26</v>
      </c>
      <c r="I135" s="12">
        <v>30.0</v>
      </c>
      <c r="J135" s="10" t="s">
        <v>26</v>
      </c>
      <c r="K135" s="12">
        <v>20.0</v>
      </c>
      <c r="L135" s="12">
        <v>7.0</v>
      </c>
      <c r="M135" s="12">
        <v>58.0</v>
      </c>
    </row>
    <row r="136" ht="16.5" hidden="1" customHeight="1">
      <c r="A136" s="10">
        <v>3365.0</v>
      </c>
      <c r="B136" s="10" t="s">
        <v>166</v>
      </c>
      <c r="C136" s="10" t="s">
        <v>34</v>
      </c>
      <c r="D136" s="11">
        <v>45482.0</v>
      </c>
      <c r="E136" s="10" t="s">
        <v>30</v>
      </c>
      <c r="F136" s="12">
        <v>10.0</v>
      </c>
      <c r="G136" s="10" t="s">
        <v>27</v>
      </c>
      <c r="H136" s="10" t="s">
        <v>30</v>
      </c>
      <c r="I136" s="12" t="s">
        <v>32</v>
      </c>
      <c r="J136" s="10" t="s">
        <v>26</v>
      </c>
      <c r="K136" s="12">
        <v>20.0</v>
      </c>
      <c r="L136" s="12">
        <v>10.0</v>
      </c>
      <c r="M136" s="12">
        <v>20.0</v>
      </c>
    </row>
    <row r="137" ht="16.5" hidden="1" customHeight="1">
      <c r="A137" s="10">
        <v>3366.0</v>
      </c>
      <c r="B137" s="10" t="s">
        <v>167</v>
      </c>
      <c r="C137" s="10" t="s">
        <v>29</v>
      </c>
      <c r="D137" s="11">
        <v>45483.0</v>
      </c>
      <c r="E137" s="10" t="s">
        <v>26</v>
      </c>
      <c r="F137" s="12">
        <v>5.0</v>
      </c>
      <c r="G137" s="10" t="s">
        <v>27</v>
      </c>
      <c r="H137" s="10" t="s">
        <v>30</v>
      </c>
      <c r="I137" s="12" t="s">
        <v>32</v>
      </c>
      <c r="J137" s="10" t="s">
        <v>30</v>
      </c>
      <c r="K137" s="12">
        <v>0.0</v>
      </c>
      <c r="L137" s="12">
        <v>0.0</v>
      </c>
      <c r="M137" s="12">
        <v>5.0</v>
      </c>
    </row>
    <row r="138" ht="16.5" customHeight="1">
      <c r="A138" s="10">
        <v>3367.0</v>
      </c>
      <c r="B138" s="10" t="s">
        <v>168</v>
      </c>
      <c r="C138" s="10" t="s">
        <v>25</v>
      </c>
      <c r="D138" s="11">
        <v>45484.0</v>
      </c>
      <c r="E138" s="10" t="s">
        <v>30</v>
      </c>
      <c r="F138" s="12">
        <v>15.0</v>
      </c>
      <c r="G138" s="10" t="s">
        <v>35</v>
      </c>
      <c r="H138" s="10" t="s">
        <v>26</v>
      </c>
      <c r="I138" s="12">
        <v>30.0</v>
      </c>
      <c r="J138" s="10" t="s">
        <v>26</v>
      </c>
      <c r="K138" s="12">
        <v>20.0</v>
      </c>
      <c r="L138" s="12">
        <v>7.0</v>
      </c>
      <c r="M138" s="12">
        <v>58.0</v>
      </c>
    </row>
    <row r="139" ht="16.5" hidden="1" customHeight="1">
      <c r="A139" s="10">
        <v>3368.0</v>
      </c>
      <c r="B139" s="10" t="s">
        <v>169</v>
      </c>
      <c r="C139" s="10" t="s">
        <v>34</v>
      </c>
      <c r="D139" s="11">
        <v>45485.0</v>
      </c>
      <c r="E139" s="10" t="s">
        <v>26</v>
      </c>
      <c r="F139" s="12">
        <v>10.0</v>
      </c>
      <c r="G139" s="10" t="s">
        <v>31</v>
      </c>
      <c r="H139" s="10" t="s">
        <v>30</v>
      </c>
      <c r="I139" s="12" t="s">
        <v>32</v>
      </c>
      <c r="J139" s="10" t="s">
        <v>26</v>
      </c>
      <c r="K139" s="12">
        <v>20.0</v>
      </c>
      <c r="L139" s="12">
        <v>10.0</v>
      </c>
      <c r="M139" s="12">
        <v>20.0</v>
      </c>
    </row>
    <row r="140" ht="16.5" hidden="1" customHeight="1">
      <c r="A140" s="10">
        <v>3369.0</v>
      </c>
      <c r="B140" s="10" t="s">
        <v>170</v>
      </c>
      <c r="C140" s="10" t="s">
        <v>29</v>
      </c>
      <c r="D140" s="11">
        <v>45486.0</v>
      </c>
      <c r="E140" s="10" t="s">
        <v>30</v>
      </c>
      <c r="F140" s="12">
        <v>5.0</v>
      </c>
      <c r="G140" s="10" t="s">
        <v>35</v>
      </c>
      <c r="H140" s="10" t="s">
        <v>30</v>
      </c>
      <c r="I140" s="12" t="s">
        <v>32</v>
      </c>
      <c r="J140" s="10" t="s">
        <v>30</v>
      </c>
      <c r="K140" s="12">
        <v>0.0</v>
      </c>
      <c r="L140" s="12">
        <v>1.0</v>
      </c>
      <c r="M140" s="12">
        <v>4.0</v>
      </c>
    </row>
    <row r="141" ht="16.5" customHeight="1">
      <c r="A141" s="10">
        <v>3370.0</v>
      </c>
      <c r="B141" s="10" t="s">
        <v>171</v>
      </c>
      <c r="C141" s="10" t="s">
        <v>25</v>
      </c>
      <c r="D141" s="11">
        <v>45487.0</v>
      </c>
      <c r="E141" s="10" t="s">
        <v>26</v>
      </c>
      <c r="F141" s="12">
        <v>15.0</v>
      </c>
      <c r="G141" s="10" t="s">
        <v>27</v>
      </c>
      <c r="H141" s="10" t="s">
        <v>26</v>
      </c>
      <c r="I141" s="12">
        <v>30.0</v>
      </c>
      <c r="J141" s="10" t="s">
        <v>26</v>
      </c>
      <c r="K141" s="12">
        <v>20.0</v>
      </c>
      <c r="L141" s="12">
        <v>15.0</v>
      </c>
      <c r="M141" s="12">
        <v>50.0</v>
      </c>
    </row>
    <row r="142" ht="16.5" hidden="1" customHeight="1">
      <c r="A142" s="10">
        <v>3371.0</v>
      </c>
      <c r="B142" s="10" t="s">
        <v>172</v>
      </c>
      <c r="C142" s="10" t="s">
        <v>34</v>
      </c>
      <c r="D142" s="11">
        <v>45488.0</v>
      </c>
      <c r="E142" s="10" t="s">
        <v>30</v>
      </c>
      <c r="F142" s="12">
        <v>10.0</v>
      </c>
      <c r="G142" s="10" t="s">
        <v>27</v>
      </c>
      <c r="H142" s="10" t="s">
        <v>30</v>
      </c>
      <c r="I142" s="12" t="s">
        <v>32</v>
      </c>
      <c r="J142" s="10" t="s">
        <v>26</v>
      </c>
      <c r="K142" s="12">
        <v>20.0</v>
      </c>
      <c r="L142" s="12">
        <v>5.0</v>
      </c>
      <c r="M142" s="12">
        <v>25.0</v>
      </c>
    </row>
    <row r="143" ht="16.5" hidden="1" customHeight="1">
      <c r="A143" s="10">
        <v>3372.0</v>
      </c>
      <c r="B143" s="10" t="s">
        <v>173</v>
      </c>
      <c r="C143" s="10" t="s">
        <v>29</v>
      </c>
      <c r="D143" s="11">
        <v>45489.0</v>
      </c>
      <c r="E143" s="10" t="s">
        <v>26</v>
      </c>
      <c r="F143" s="12">
        <v>5.0</v>
      </c>
      <c r="G143" s="10" t="s">
        <v>31</v>
      </c>
      <c r="H143" s="10" t="s">
        <v>30</v>
      </c>
      <c r="I143" s="12" t="s">
        <v>32</v>
      </c>
      <c r="J143" s="10" t="s">
        <v>30</v>
      </c>
      <c r="K143" s="12">
        <v>0.0</v>
      </c>
      <c r="L143" s="12">
        <v>0.0</v>
      </c>
      <c r="M143" s="12">
        <v>5.0</v>
      </c>
    </row>
    <row r="144" ht="16.5" customHeight="1">
      <c r="A144" s="10">
        <v>3373.0</v>
      </c>
      <c r="B144" s="10" t="s">
        <v>174</v>
      </c>
      <c r="C144" s="10" t="s">
        <v>25</v>
      </c>
      <c r="D144" s="11">
        <v>45490.0</v>
      </c>
      <c r="E144" s="10" t="s">
        <v>30</v>
      </c>
      <c r="F144" s="12">
        <v>15.0</v>
      </c>
      <c r="G144" s="10" t="s">
        <v>35</v>
      </c>
      <c r="H144" s="10" t="s">
        <v>26</v>
      </c>
      <c r="I144" s="12">
        <v>30.0</v>
      </c>
      <c r="J144" s="10" t="s">
        <v>26</v>
      </c>
      <c r="K144" s="12">
        <v>20.0</v>
      </c>
      <c r="L144" s="12">
        <v>20.0</v>
      </c>
      <c r="M144" s="12">
        <v>45.0</v>
      </c>
    </row>
    <row r="145" ht="16.5" hidden="1" customHeight="1">
      <c r="A145" s="10">
        <v>3374.0</v>
      </c>
      <c r="B145" s="10" t="s">
        <v>175</v>
      </c>
      <c r="C145" s="10" t="s">
        <v>34</v>
      </c>
      <c r="D145" s="11">
        <v>45491.0</v>
      </c>
      <c r="E145" s="10" t="s">
        <v>26</v>
      </c>
      <c r="F145" s="12">
        <v>10.0</v>
      </c>
      <c r="G145" s="10" t="s">
        <v>35</v>
      </c>
      <c r="H145" s="10" t="s">
        <v>30</v>
      </c>
      <c r="I145" s="12" t="s">
        <v>32</v>
      </c>
      <c r="J145" s="10" t="s">
        <v>26</v>
      </c>
      <c r="K145" s="12">
        <v>20.0</v>
      </c>
      <c r="L145" s="12">
        <v>12.0</v>
      </c>
      <c r="M145" s="12">
        <v>18.0</v>
      </c>
    </row>
    <row r="146" ht="16.5" hidden="1" customHeight="1">
      <c r="A146" s="10">
        <v>3375.0</v>
      </c>
      <c r="B146" s="10" t="s">
        <v>176</v>
      </c>
      <c r="C146" s="10" t="s">
        <v>29</v>
      </c>
      <c r="D146" s="11">
        <v>45492.0</v>
      </c>
      <c r="E146" s="10" t="s">
        <v>30</v>
      </c>
      <c r="F146" s="12">
        <v>5.0</v>
      </c>
      <c r="G146" s="10" t="s">
        <v>27</v>
      </c>
      <c r="H146" s="10" t="s">
        <v>30</v>
      </c>
      <c r="I146" s="12" t="s">
        <v>32</v>
      </c>
      <c r="J146" s="10" t="s">
        <v>30</v>
      </c>
      <c r="K146" s="12">
        <v>0.0</v>
      </c>
      <c r="L146" s="12">
        <v>2.0</v>
      </c>
      <c r="M146" s="12">
        <v>3.0</v>
      </c>
    </row>
    <row r="147" ht="16.5" customHeight="1">
      <c r="A147" s="10">
        <v>3376.0</v>
      </c>
      <c r="B147" s="10" t="s">
        <v>177</v>
      </c>
      <c r="C147" s="10" t="s">
        <v>25</v>
      </c>
      <c r="D147" s="11">
        <v>45493.0</v>
      </c>
      <c r="E147" s="10" t="s">
        <v>26</v>
      </c>
      <c r="F147" s="12">
        <v>15.0</v>
      </c>
      <c r="G147" s="10" t="s">
        <v>31</v>
      </c>
      <c r="H147" s="10" t="s">
        <v>26</v>
      </c>
      <c r="I147" s="12">
        <v>30.0</v>
      </c>
      <c r="J147" s="10" t="s">
        <v>26</v>
      </c>
      <c r="K147" s="12">
        <v>20.0</v>
      </c>
      <c r="L147" s="12">
        <v>5.0</v>
      </c>
      <c r="M147" s="12">
        <v>60.0</v>
      </c>
    </row>
    <row r="148" ht="16.5" hidden="1" customHeight="1">
      <c r="A148" s="10">
        <v>3377.0</v>
      </c>
      <c r="B148" s="10" t="s">
        <v>178</v>
      </c>
      <c r="C148" s="10" t="s">
        <v>34</v>
      </c>
      <c r="D148" s="11">
        <v>45494.0</v>
      </c>
      <c r="E148" s="10" t="s">
        <v>30</v>
      </c>
      <c r="F148" s="12">
        <v>10.0</v>
      </c>
      <c r="G148" s="10" t="s">
        <v>27</v>
      </c>
      <c r="H148" s="10" t="s">
        <v>30</v>
      </c>
      <c r="I148" s="12" t="s">
        <v>32</v>
      </c>
      <c r="J148" s="10" t="s">
        <v>26</v>
      </c>
      <c r="K148" s="12">
        <v>20.0</v>
      </c>
      <c r="L148" s="12">
        <v>10.0</v>
      </c>
      <c r="M148" s="12">
        <v>20.0</v>
      </c>
    </row>
    <row r="149" ht="16.5" hidden="1" customHeight="1">
      <c r="A149" s="10">
        <v>3378.0</v>
      </c>
      <c r="B149" s="10" t="s">
        <v>179</v>
      </c>
      <c r="C149" s="10" t="s">
        <v>29</v>
      </c>
      <c r="D149" s="11">
        <v>45495.0</v>
      </c>
      <c r="E149" s="10" t="s">
        <v>26</v>
      </c>
      <c r="F149" s="12">
        <v>5.0</v>
      </c>
      <c r="G149" s="10" t="s">
        <v>35</v>
      </c>
      <c r="H149" s="10" t="s">
        <v>30</v>
      </c>
      <c r="I149" s="12" t="s">
        <v>32</v>
      </c>
      <c r="J149" s="10" t="s">
        <v>30</v>
      </c>
      <c r="K149" s="12">
        <v>0.0</v>
      </c>
      <c r="L149" s="12">
        <v>0.0</v>
      </c>
      <c r="M149" s="12">
        <v>5.0</v>
      </c>
    </row>
    <row r="150" ht="16.5" customHeight="1">
      <c r="A150" s="10">
        <v>3379.0</v>
      </c>
      <c r="B150" s="10" t="s">
        <v>180</v>
      </c>
      <c r="C150" s="10" t="s">
        <v>25</v>
      </c>
      <c r="D150" s="11">
        <v>45496.0</v>
      </c>
      <c r="E150" s="10" t="s">
        <v>30</v>
      </c>
      <c r="F150" s="12">
        <v>15.0</v>
      </c>
      <c r="G150" s="10" t="s">
        <v>27</v>
      </c>
      <c r="H150" s="10" t="s">
        <v>26</v>
      </c>
      <c r="I150" s="12">
        <v>30.0</v>
      </c>
      <c r="J150" s="10" t="s">
        <v>26</v>
      </c>
      <c r="K150" s="12">
        <v>20.0</v>
      </c>
      <c r="L150" s="12">
        <v>3.0</v>
      </c>
      <c r="M150" s="12">
        <v>62.0</v>
      </c>
    </row>
    <row r="151" ht="16.5" hidden="1" customHeight="1">
      <c r="A151" s="10">
        <v>3380.0</v>
      </c>
      <c r="B151" s="10" t="s">
        <v>181</v>
      </c>
      <c r="C151" s="10" t="s">
        <v>34</v>
      </c>
      <c r="D151" s="11">
        <v>45497.0</v>
      </c>
      <c r="E151" s="10" t="s">
        <v>26</v>
      </c>
      <c r="F151" s="12">
        <v>10.0</v>
      </c>
      <c r="G151" s="10" t="s">
        <v>31</v>
      </c>
      <c r="H151" s="10" t="s">
        <v>30</v>
      </c>
      <c r="I151" s="12" t="s">
        <v>32</v>
      </c>
      <c r="J151" s="10" t="s">
        <v>26</v>
      </c>
      <c r="K151" s="12">
        <v>20.0</v>
      </c>
      <c r="L151" s="12">
        <v>15.0</v>
      </c>
      <c r="M151" s="12">
        <v>15.0</v>
      </c>
    </row>
    <row r="152" ht="16.5" hidden="1" customHeight="1">
      <c r="A152" s="10">
        <v>3381.0</v>
      </c>
      <c r="B152" s="10" t="s">
        <v>182</v>
      </c>
      <c r="C152" s="10" t="s">
        <v>29</v>
      </c>
      <c r="D152" s="11">
        <v>45498.0</v>
      </c>
      <c r="E152" s="10" t="s">
        <v>30</v>
      </c>
      <c r="F152" s="12">
        <v>5.0</v>
      </c>
      <c r="G152" s="10" t="s">
        <v>27</v>
      </c>
      <c r="H152" s="10" t="s">
        <v>30</v>
      </c>
      <c r="I152" s="12" t="s">
        <v>32</v>
      </c>
      <c r="J152" s="10" t="s">
        <v>30</v>
      </c>
      <c r="K152" s="12">
        <v>0.0</v>
      </c>
      <c r="L152" s="12">
        <v>1.0</v>
      </c>
      <c r="M152" s="12">
        <v>4.0</v>
      </c>
    </row>
    <row r="153" ht="16.5" customHeight="1">
      <c r="A153" s="10">
        <v>3382.0</v>
      </c>
      <c r="B153" s="10" t="s">
        <v>183</v>
      </c>
      <c r="C153" s="10" t="s">
        <v>25</v>
      </c>
      <c r="D153" s="11">
        <v>45499.0</v>
      </c>
      <c r="E153" s="10" t="s">
        <v>26</v>
      </c>
      <c r="F153" s="12">
        <v>15.0</v>
      </c>
      <c r="G153" s="10" t="s">
        <v>35</v>
      </c>
      <c r="H153" s="10" t="s">
        <v>26</v>
      </c>
      <c r="I153" s="12">
        <v>30.0</v>
      </c>
      <c r="J153" s="10" t="s">
        <v>26</v>
      </c>
      <c r="K153" s="12">
        <v>20.0</v>
      </c>
      <c r="L153" s="12">
        <v>7.0</v>
      </c>
      <c r="M153" s="12">
        <v>58.0</v>
      </c>
    </row>
    <row r="154" ht="16.5" hidden="1" customHeight="1">
      <c r="A154" s="10">
        <v>3383.0</v>
      </c>
      <c r="B154" s="10" t="s">
        <v>184</v>
      </c>
      <c r="C154" s="10" t="s">
        <v>34</v>
      </c>
      <c r="D154" s="11">
        <v>45500.0</v>
      </c>
      <c r="E154" s="10" t="s">
        <v>30</v>
      </c>
      <c r="F154" s="12">
        <v>10.0</v>
      </c>
      <c r="G154" s="10" t="s">
        <v>27</v>
      </c>
      <c r="H154" s="10" t="s">
        <v>30</v>
      </c>
      <c r="I154" s="12" t="s">
        <v>32</v>
      </c>
      <c r="J154" s="10" t="s">
        <v>26</v>
      </c>
      <c r="K154" s="12">
        <v>20.0</v>
      </c>
      <c r="L154" s="12">
        <v>10.0</v>
      </c>
      <c r="M154" s="12">
        <v>20.0</v>
      </c>
    </row>
    <row r="155" ht="16.5" hidden="1" customHeight="1">
      <c r="A155" s="10">
        <v>3384.0</v>
      </c>
      <c r="B155" s="10" t="s">
        <v>185</v>
      </c>
      <c r="C155" s="10" t="s">
        <v>29</v>
      </c>
      <c r="D155" s="11">
        <v>45501.0</v>
      </c>
      <c r="E155" s="10" t="s">
        <v>26</v>
      </c>
      <c r="F155" s="12">
        <v>5.0</v>
      </c>
      <c r="G155" s="10" t="s">
        <v>31</v>
      </c>
      <c r="H155" s="10" t="s">
        <v>30</v>
      </c>
      <c r="I155" s="12" t="s">
        <v>32</v>
      </c>
      <c r="J155" s="10" t="s">
        <v>30</v>
      </c>
      <c r="K155" s="12">
        <v>0.0</v>
      </c>
      <c r="L155" s="12">
        <v>0.0</v>
      </c>
      <c r="M155" s="12">
        <v>5.0</v>
      </c>
    </row>
    <row r="156" ht="16.5" customHeight="1">
      <c r="A156" s="10">
        <v>3385.0</v>
      </c>
      <c r="B156" s="10" t="s">
        <v>186</v>
      </c>
      <c r="C156" s="10" t="s">
        <v>25</v>
      </c>
      <c r="D156" s="11">
        <v>45502.0</v>
      </c>
      <c r="E156" s="10" t="s">
        <v>30</v>
      </c>
      <c r="F156" s="12">
        <v>15.0</v>
      </c>
      <c r="G156" s="10" t="s">
        <v>27</v>
      </c>
      <c r="H156" s="10" t="s">
        <v>26</v>
      </c>
      <c r="I156" s="12">
        <v>30.0</v>
      </c>
      <c r="J156" s="10" t="s">
        <v>26</v>
      </c>
      <c r="K156" s="12">
        <v>20.0</v>
      </c>
      <c r="L156" s="12">
        <v>20.0</v>
      </c>
      <c r="M156" s="12">
        <v>45.0</v>
      </c>
    </row>
    <row r="157" ht="16.5" hidden="1" customHeight="1">
      <c r="A157" s="10">
        <v>3386.0</v>
      </c>
      <c r="B157" s="10" t="s">
        <v>187</v>
      </c>
      <c r="C157" s="10" t="s">
        <v>34</v>
      </c>
      <c r="D157" s="11">
        <v>45503.0</v>
      </c>
      <c r="E157" s="10" t="s">
        <v>26</v>
      </c>
      <c r="F157" s="12">
        <v>10.0</v>
      </c>
      <c r="G157" s="10" t="s">
        <v>35</v>
      </c>
      <c r="H157" s="10" t="s">
        <v>30</v>
      </c>
      <c r="I157" s="12" t="s">
        <v>32</v>
      </c>
      <c r="J157" s="10" t="s">
        <v>26</v>
      </c>
      <c r="K157" s="12">
        <v>20.0</v>
      </c>
      <c r="L157" s="12">
        <v>15.0</v>
      </c>
      <c r="M157" s="12">
        <v>15.0</v>
      </c>
    </row>
    <row r="158" ht="16.5" hidden="1" customHeight="1">
      <c r="A158" s="10">
        <v>3387.0</v>
      </c>
      <c r="B158" s="10" t="s">
        <v>188</v>
      </c>
      <c r="C158" s="10" t="s">
        <v>29</v>
      </c>
      <c r="D158" s="11">
        <v>45504.0</v>
      </c>
      <c r="E158" s="10" t="s">
        <v>30</v>
      </c>
      <c r="F158" s="12">
        <v>5.0</v>
      </c>
      <c r="G158" s="10" t="s">
        <v>27</v>
      </c>
      <c r="H158" s="10" t="s">
        <v>30</v>
      </c>
      <c r="I158" s="12" t="s">
        <v>32</v>
      </c>
      <c r="J158" s="10" t="s">
        <v>30</v>
      </c>
      <c r="K158" s="12">
        <v>0.0</v>
      </c>
      <c r="L158" s="12">
        <v>1.0</v>
      </c>
      <c r="M158" s="12">
        <v>4.0</v>
      </c>
    </row>
    <row r="159" ht="16.5" customHeight="1">
      <c r="A159" s="10">
        <v>3388.0</v>
      </c>
      <c r="B159" s="10" t="s">
        <v>189</v>
      </c>
      <c r="C159" s="10" t="s">
        <v>25</v>
      </c>
      <c r="D159" s="11">
        <v>45505.0</v>
      </c>
      <c r="E159" s="10" t="s">
        <v>26</v>
      </c>
      <c r="F159" s="12">
        <v>15.0</v>
      </c>
      <c r="G159" s="10" t="s">
        <v>31</v>
      </c>
      <c r="H159" s="10" t="s">
        <v>26</v>
      </c>
      <c r="I159" s="12">
        <v>30.0</v>
      </c>
      <c r="J159" s="10" t="s">
        <v>26</v>
      </c>
      <c r="K159" s="12">
        <v>20.0</v>
      </c>
      <c r="L159" s="12">
        <v>3.0</v>
      </c>
      <c r="M159" s="12">
        <v>62.0</v>
      </c>
    </row>
    <row r="160" ht="16.5" hidden="1" customHeight="1">
      <c r="A160" s="10">
        <v>3389.0</v>
      </c>
      <c r="B160" s="10" t="s">
        <v>190</v>
      </c>
      <c r="C160" s="10" t="s">
        <v>34</v>
      </c>
      <c r="D160" s="11">
        <v>45506.0</v>
      </c>
      <c r="E160" s="10" t="s">
        <v>30</v>
      </c>
      <c r="F160" s="12">
        <v>10.0</v>
      </c>
      <c r="G160" s="10" t="s">
        <v>27</v>
      </c>
      <c r="H160" s="10" t="s">
        <v>30</v>
      </c>
      <c r="I160" s="12" t="s">
        <v>32</v>
      </c>
      <c r="J160" s="10" t="s">
        <v>26</v>
      </c>
      <c r="K160" s="12">
        <v>20.0</v>
      </c>
      <c r="L160" s="12">
        <v>10.0</v>
      </c>
      <c r="M160" s="12">
        <v>20.0</v>
      </c>
    </row>
    <row r="161" ht="16.5" hidden="1" customHeight="1">
      <c r="A161" s="10">
        <v>3390.0</v>
      </c>
      <c r="B161" s="10" t="s">
        <v>191</v>
      </c>
      <c r="C161" s="10" t="s">
        <v>29</v>
      </c>
      <c r="D161" s="11">
        <v>45507.0</v>
      </c>
      <c r="E161" s="10" t="s">
        <v>26</v>
      </c>
      <c r="F161" s="12">
        <v>5.0</v>
      </c>
      <c r="G161" s="10" t="s">
        <v>35</v>
      </c>
      <c r="H161" s="10" t="s">
        <v>30</v>
      </c>
      <c r="I161" s="12" t="s">
        <v>32</v>
      </c>
      <c r="J161" s="10" t="s">
        <v>30</v>
      </c>
      <c r="K161" s="12">
        <v>0.0</v>
      </c>
      <c r="L161" s="12">
        <v>0.0</v>
      </c>
      <c r="M161" s="12">
        <v>5.0</v>
      </c>
    </row>
    <row r="162" ht="16.5" customHeight="1">
      <c r="A162" s="10">
        <v>3391.0</v>
      </c>
      <c r="B162" s="10" t="s">
        <v>91</v>
      </c>
      <c r="C162" s="10" t="s">
        <v>25</v>
      </c>
      <c r="D162" s="11">
        <v>45508.0</v>
      </c>
      <c r="E162" s="10" t="s">
        <v>30</v>
      </c>
      <c r="F162" s="12">
        <v>15.0</v>
      </c>
      <c r="G162" s="10" t="s">
        <v>27</v>
      </c>
      <c r="H162" s="10" t="s">
        <v>26</v>
      </c>
      <c r="I162" s="12">
        <v>30.0</v>
      </c>
      <c r="J162" s="10" t="s">
        <v>26</v>
      </c>
      <c r="K162" s="12">
        <v>20.0</v>
      </c>
      <c r="L162" s="12">
        <v>15.0</v>
      </c>
      <c r="M162" s="12">
        <v>50.0</v>
      </c>
    </row>
    <row r="163" ht="16.5" hidden="1" customHeight="1">
      <c r="A163" s="10">
        <v>3392.0</v>
      </c>
      <c r="B163" s="10" t="s">
        <v>192</v>
      </c>
      <c r="C163" s="10" t="s">
        <v>34</v>
      </c>
      <c r="D163" s="11">
        <v>45509.0</v>
      </c>
      <c r="E163" s="10" t="s">
        <v>26</v>
      </c>
      <c r="F163" s="12">
        <v>10.0</v>
      </c>
      <c r="G163" s="10" t="s">
        <v>31</v>
      </c>
      <c r="H163" s="10" t="s">
        <v>30</v>
      </c>
      <c r="I163" s="12" t="s">
        <v>32</v>
      </c>
      <c r="J163" s="10" t="s">
        <v>26</v>
      </c>
      <c r="K163" s="12">
        <v>20.0</v>
      </c>
      <c r="L163" s="12">
        <v>15.0</v>
      </c>
      <c r="M163" s="12">
        <v>15.0</v>
      </c>
    </row>
    <row r="164" ht="16.5" hidden="1" customHeight="1">
      <c r="A164" s="10">
        <v>3393.0</v>
      </c>
      <c r="B164" s="10" t="s">
        <v>193</v>
      </c>
      <c r="C164" s="10" t="s">
        <v>29</v>
      </c>
      <c r="D164" s="11">
        <v>45510.0</v>
      </c>
      <c r="E164" s="10" t="s">
        <v>30</v>
      </c>
      <c r="F164" s="12">
        <v>5.0</v>
      </c>
      <c r="G164" s="10" t="s">
        <v>27</v>
      </c>
      <c r="H164" s="10" t="s">
        <v>30</v>
      </c>
      <c r="I164" s="12" t="s">
        <v>32</v>
      </c>
      <c r="J164" s="10" t="s">
        <v>30</v>
      </c>
      <c r="K164" s="12">
        <v>0.0</v>
      </c>
      <c r="L164" s="12">
        <v>1.0</v>
      </c>
      <c r="M164" s="12">
        <v>4.0</v>
      </c>
    </row>
    <row r="165" ht="16.5" customHeight="1">
      <c r="A165" s="10">
        <v>3394.0</v>
      </c>
      <c r="B165" s="10" t="s">
        <v>194</v>
      </c>
      <c r="C165" s="10" t="s">
        <v>25</v>
      </c>
      <c r="D165" s="11">
        <v>45511.0</v>
      </c>
      <c r="E165" s="10" t="s">
        <v>26</v>
      </c>
      <c r="F165" s="12">
        <v>15.0</v>
      </c>
      <c r="G165" s="10" t="s">
        <v>35</v>
      </c>
      <c r="H165" s="10" t="s">
        <v>26</v>
      </c>
      <c r="I165" s="12">
        <v>30.0</v>
      </c>
      <c r="J165" s="10" t="s">
        <v>26</v>
      </c>
      <c r="K165" s="12">
        <v>20.0</v>
      </c>
      <c r="L165" s="12">
        <v>7.0</v>
      </c>
      <c r="M165" s="12">
        <v>58.0</v>
      </c>
    </row>
    <row r="166" ht="16.5" hidden="1" customHeight="1">
      <c r="A166" s="10">
        <v>3395.0</v>
      </c>
      <c r="B166" s="10" t="s">
        <v>195</v>
      </c>
      <c r="C166" s="10" t="s">
        <v>34</v>
      </c>
      <c r="D166" s="11">
        <v>45512.0</v>
      </c>
      <c r="E166" s="10" t="s">
        <v>30</v>
      </c>
      <c r="F166" s="12">
        <v>10.0</v>
      </c>
      <c r="G166" s="10" t="s">
        <v>27</v>
      </c>
      <c r="H166" s="10" t="s">
        <v>30</v>
      </c>
      <c r="I166" s="12" t="s">
        <v>32</v>
      </c>
      <c r="J166" s="10" t="s">
        <v>26</v>
      </c>
      <c r="K166" s="12">
        <v>20.0</v>
      </c>
      <c r="L166" s="12">
        <v>10.0</v>
      </c>
      <c r="M166" s="12">
        <v>20.0</v>
      </c>
    </row>
    <row r="167" ht="16.5" hidden="1" customHeight="1">
      <c r="A167" s="10">
        <v>3396.0</v>
      </c>
      <c r="B167" s="10" t="s">
        <v>196</v>
      </c>
      <c r="C167" s="10" t="s">
        <v>29</v>
      </c>
      <c r="D167" s="11">
        <v>45513.0</v>
      </c>
      <c r="E167" s="10" t="s">
        <v>26</v>
      </c>
      <c r="F167" s="12">
        <v>5.0</v>
      </c>
      <c r="G167" s="10" t="s">
        <v>31</v>
      </c>
      <c r="H167" s="10" t="s">
        <v>30</v>
      </c>
      <c r="I167" s="12" t="s">
        <v>32</v>
      </c>
      <c r="J167" s="10" t="s">
        <v>30</v>
      </c>
      <c r="K167" s="12">
        <v>0.0</v>
      </c>
      <c r="L167" s="12">
        <v>0.0</v>
      </c>
      <c r="M167" s="12">
        <v>5.0</v>
      </c>
    </row>
    <row r="168" ht="16.5" customHeight="1">
      <c r="A168" s="10">
        <v>3397.0</v>
      </c>
      <c r="B168" s="10" t="s">
        <v>123</v>
      </c>
      <c r="C168" s="10" t="s">
        <v>25</v>
      </c>
      <c r="D168" s="11">
        <v>45514.0</v>
      </c>
      <c r="E168" s="10" t="s">
        <v>30</v>
      </c>
      <c r="F168" s="12">
        <v>15.0</v>
      </c>
      <c r="G168" s="10" t="s">
        <v>27</v>
      </c>
      <c r="H168" s="10" t="s">
        <v>26</v>
      </c>
      <c r="I168" s="12">
        <v>30.0</v>
      </c>
      <c r="J168" s="10" t="s">
        <v>26</v>
      </c>
      <c r="K168" s="12">
        <v>20.0</v>
      </c>
      <c r="L168" s="12">
        <v>20.0</v>
      </c>
      <c r="M168" s="12">
        <v>45.0</v>
      </c>
    </row>
    <row r="169" ht="16.5" hidden="1" customHeight="1">
      <c r="A169" s="10">
        <v>3398.0</v>
      </c>
      <c r="B169" s="10" t="s">
        <v>197</v>
      </c>
      <c r="C169" s="10" t="s">
        <v>34</v>
      </c>
      <c r="D169" s="11">
        <v>45515.0</v>
      </c>
      <c r="E169" s="10" t="s">
        <v>26</v>
      </c>
      <c r="F169" s="12">
        <v>10.0</v>
      </c>
      <c r="G169" s="10" t="s">
        <v>35</v>
      </c>
      <c r="H169" s="10" t="s">
        <v>30</v>
      </c>
      <c r="I169" s="12" t="s">
        <v>32</v>
      </c>
      <c r="J169" s="10" t="s">
        <v>26</v>
      </c>
      <c r="K169" s="12">
        <v>20.0</v>
      </c>
      <c r="L169" s="12">
        <v>15.0</v>
      </c>
      <c r="M169" s="12">
        <v>15.0</v>
      </c>
    </row>
    <row r="170" ht="16.5" hidden="1" customHeight="1">
      <c r="A170" s="10">
        <v>3399.0</v>
      </c>
      <c r="B170" s="10" t="s">
        <v>198</v>
      </c>
      <c r="C170" s="10" t="s">
        <v>29</v>
      </c>
      <c r="D170" s="11">
        <v>45516.0</v>
      </c>
      <c r="E170" s="10" t="s">
        <v>30</v>
      </c>
      <c r="F170" s="12">
        <v>5.0</v>
      </c>
      <c r="G170" s="10" t="s">
        <v>27</v>
      </c>
      <c r="H170" s="10" t="s">
        <v>30</v>
      </c>
      <c r="I170" s="12" t="s">
        <v>32</v>
      </c>
      <c r="J170" s="10" t="s">
        <v>30</v>
      </c>
      <c r="K170" s="12">
        <v>0.0</v>
      </c>
      <c r="L170" s="12">
        <v>1.0</v>
      </c>
      <c r="M170" s="12">
        <v>4.0</v>
      </c>
    </row>
    <row r="171" ht="16.5" customHeight="1">
      <c r="A171" s="10">
        <v>3400.0</v>
      </c>
      <c r="B171" s="10" t="s">
        <v>199</v>
      </c>
      <c r="C171" s="10" t="s">
        <v>25</v>
      </c>
      <c r="D171" s="11">
        <v>45517.0</v>
      </c>
      <c r="E171" s="10" t="s">
        <v>26</v>
      </c>
      <c r="F171" s="12">
        <v>15.0</v>
      </c>
      <c r="G171" s="10" t="s">
        <v>31</v>
      </c>
      <c r="H171" s="10" t="s">
        <v>26</v>
      </c>
      <c r="I171" s="12">
        <v>30.0</v>
      </c>
      <c r="J171" s="10" t="s">
        <v>26</v>
      </c>
      <c r="K171" s="12">
        <v>20.0</v>
      </c>
      <c r="L171" s="12">
        <v>5.0</v>
      </c>
      <c r="M171" s="12">
        <v>60.0</v>
      </c>
    </row>
    <row r="172" ht="16.5" hidden="1" customHeight="1">
      <c r="A172" s="10">
        <v>3401.0</v>
      </c>
      <c r="B172" s="10" t="s">
        <v>200</v>
      </c>
      <c r="C172" s="10" t="s">
        <v>34</v>
      </c>
      <c r="D172" s="11">
        <v>45518.0</v>
      </c>
      <c r="E172" s="10" t="s">
        <v>30</v>
      </c>
      <c r="F172" s="12">
        <v>10.0</v>
      </c>
      <c r="G172" s="10" t="s">
        <v>27</v>
      </c>
      <c r="H172" s="10" t="s">
        <v>30</v>
      </c>
      <c r="I172" s="12" t="s">
        <v>32</v>
      </c>
      <c r="J172" s="10" t="s">
        <v>26</v>
      </c>
      <c r="K172" s="12">
        <v>20.0</v>
      </c>
      <c r="L172" s="12">
        <v>10.0</v>
      </c>
      <c r="M172" s="12">
        <v>20.0</v>
      </c>
    </row>
    <row r="173" ht="16.5" hidden="1" customHeight="1">
      <c r="A173" s="10">
        <v>3402.0</v>
      </c>
      <c r="B173" s="10" t="s">
        <v>201</v>
      </c>
      <c r="C173" s="10" t="s">
        <v>29</v>
      </c>
      <c r="D173" s="11">
        <v>45519.0</v>
      </c>
      <c r="E173" s="10" t="s">
        <v>26</v>
      </c>
      <c r="F173" s="12">
        <v>5.0</v>
      </c>
      <c r="G173" s="10" t="s">
        <v>35</v>
      </c>
      <c r="H173" s="10" t="s">
        <v>30</v>
      </c>
      <c r="I173" s="12" t="s">
        <v>32</v>
      </c>
      <c r="J173" s="10" t="s">
        <v>30</v>
      </c>
      <c r="K173" s="12">
        <v>0.0</v>
      </c>
      <c r="L173" s="12">
        <v>0.0</v>
      </c>
      <c r="M173" s="12">
        <v>5.0</v>
      </c>
    </row>
    <row r="174" ht="16.5" customHeight="1">
      <c r="A174" s="10">
        <v>3403.0</v>
      </c>
      <c r="B174" s="10" t="s">
        <v>202</v>
      </c>
      <c r="C174" s="10" t="s">
        <v>25</v>
      </c>
      <c r="D174" s="11">
        <v>45520.0</v>
      </c>
      <c r="E174" s="10" t="s">
        <v>30</v>
      </c>
      <c r="F174" s="12">
        <v>15.0</v>
      </c>
      <c r="G174" s="10" t="s">
        <v>27</v>
      </c>
      <c r="H174" s="10" t="s">
        <v>26</v>
      </c>
      <c r="I174" s="12">
        <v>30.0</v>
      </c>
      <c r="J174" s="10" t="s">
        <v>26</v>
      </c>
      <c r="K174" s="12">
        <v>20.0</v>
      </c>
      <c r="L174" s="12">
        <v>3.0</v>
      </c>
      <c r="M174" s="12">
        <v>62.0</v>
      </c>
    </row>
    <row r="175" ht="16.5" hidden="1" customHeight="1">
      <c r="A175" s="10">
        <v>3404.0</v>
      </c>
      <c r="B175" s="10" t="s">
        <v>203</v>
      </c>
      <c r="C175" s="10" t="s">
        <v>34</v>
      </c>
      <c r="D175" s="11">
        <v>45521.0</v>
      </c>
      <c r="E175" s="10" t="s">
        <v>26</v>
      </c>
      <c r="F175" s="12">
        <v>10.0</v>
      </c>
      <c r="G175" s="10" t="s">
        <v>31</v>
      </c>
      <c r="H175" s="10" t="s">
        <v>30</v>
      </c>
      <c r="I175" s="12" t="s">
        <v>32</v>
      </c>
      <c r="J175" s="10" t="s">
        <v>26</v>
      </c>
      <c r="K175" s="12">
        <v>20.0</v>
      </c>
      <c r="L175" s="12">
        <v>15.0</v>
      </c>
      <c r="M175" s="12">
        <v>15.0</v>
      </c>
    </row>
    <row r="176" ht="16.5" hidden="1" customHeight="1">
      <c r="A176" s="10">
        <v>3405.0</v>
      </c>
      <c r="B176" s="10" t="s">
        <v>204</v>
      </c>
      <c r="C176" s="10" t="s">
        <v>29</v>
      </c>
      <c r="D176" s="11">
        <v>45522.0</v>
      </c>
      <c r="E176" s="10" t="s">
        <v>30</v>
      </c>
      <c r="F176" s="12">
        <v>5.0</v>
      </c>
      <c r="G176" s="10" t="s">
        <v>27</v>
      </c>
      <c r="H176" s="10" t="s">
        <v>30</v>
      </c>
      <c r="I176" s="12" t="s">
        <v>32</v>
      </c>
      <c r="J176" s="10" t="s">
        <v>30</v>
      </c>
      <c r="K176" s="12">
        <v>0.0</v>
      </c>
      <c r="L176" s="12">
        <v>1.0</v>
      </c>
      <c r="M176" s="12">
        <v>4.0</v>
      </c>
    </row>
    <row r="177" ht="16.5" hidden="1" customHeight="1">
      <c r="A177" s="10">
        <v>3406.0</v>
      </c>
      <c r="B177" s="10" t="s">
        <v>205</v>
      </c>
      <c r="C177" s="10" t="s">
        <v>29</v>
      </c>
      <c r="D177" s="11">
        <v>45523.0</v>
      </c>
      <c r="E177" s="10" t="s">
        <v>26</v>
      </c>
      <c r="F177" s="12">
        <v>5.0</v>
      </c>
      <c r="G177" s="10" t="s">
        <v>27</v>
      </c>
      <c r="H177" s="10" t="s">
        <v>30</v>
      </c>
      <c r="I177" s="12" t="s">
        <v>32</v>
      </c>
      <c r="J177" s="10" t="s">
        <v>30</v>
      </c>
      <c r="K177" s="12">
        <v>0.0</v>
      </c>
      <c r="L177" s="12">
        <v>0.0</v>
      </c>
      <c r="M177" s="12">
        <v>5.0</v>
      </c>
    </row>
    <row r="178" ht="16.5" customHeight="1">
      <c r="A178" s="10">
        <v>3407.0</v>
      </c>
      <c r="B178" s="10" t="s">
        <v>206</v>
      </c>
      <c r="C178" s="10" t="s">
        <v>25</v>
      </c>
      <c r="D178" s="11">
        <v>45524.0</v>
      </c>
      <c r="E178" s="10" t="s">
        <v>30</v>
      </c>
      <c r="F178" s="12">
        <v>15.0</v>
      </c>
      <c r="G178" s="10" t="s">
        <v>35</v>
      </c>
      <c r="H178" s="10" t="s">
        <v>26</v>
      </c>
      <c r="I178" s="12">
        <v>30.0</v>
      </c>
      <c r="J178" s="10" t="s">
        <v>26</v>
      </c>
      <c r="K178" s="12">
        <v>20.0</v>
      </c>
      <c r="L178" s="12">
        <v>7.0</v>
      </c>
      <c r="M178" s="12">
        <v>58.0</v>
      </c>
    </row>
    <row r="179" ht="16.5" hidden="1" customHeight="1">
      <c r="A179" s="10">
        <v>3408.0</v>
      </c>
      <c r="B179" s="10" t="s">
        <v>207</v>
      </c>
      <c r="C179" s="10" t="s">
        <v>34</v>
      </c>
      <c r="D179" s="11">
        <v>45525.0</v>
      </c>
      <c r="E179" s="10" t="s">
        <v>26</v>
      </c>
      <c r="F179" s="12">
        <v>10.0</v>
      </c>
      <c r="G179" s="10" t="s">
        <v>31</v>
      </c>
      <c r="H179" s="10" t="s">
        <v>30</v>
      </c>
      <c r="I179" s="12" t="s">
        <v>32</v>
      </c>
      <c r="J179" s="10" t="s">
        <v>26</v>
      </c>
      <c r="K179" s="12">
        <v>20.0</v>
      </c>
      <c r="L179" s="12">
        <v>10.0</v>
      </c>
      <c r="M179" s="12">
        <v>20.0</v>
      </c>
    </row>
    <row r="180" ht="16.5" hidden="1" customHeight="1">
      <c r="A180" s="10">
        <v>3409.0</v>
      </c>
      <c r="B180" s="10" t="s">
        <v>208</v>
      </c>
      <c r="C180" s="10" t="s">
        <v>29</v>
      </c>
      <c r="D180" s="11">
        <v>45526.0</v>
      </c>
      <c r="E180" s="10" t="s">
        <v>30</v>
      </c>
      <c r="F180" s="12">
        <v>5.0</v>
      </c>
      <c r="G180" s="10" t="s">
        <v>35</v>
      </c>
      <c r="H180" s="10" t="s">
        <v>30</v>
      </c>
      <c r="I180" s="12" t="s">
        <v>32</v>
      </c>
      <c r="J180" s="10" t="s">
        <v>30</v>
      </c>
      <c r="K180" s="12">
        <v>0.0</v>
      </c>
      <c r="L180" s="12">
        <v>1.0</v>
      </c>
      <c r="M180" s="12">
        <v>4.0</v>
      </c>
    </row>
    <row r="181" ht="16.5" customHeight="1">
      <c r="A181" s="10">
        <v>3410.0</v>
      </c>
      <c r="B181" s="10" t="s">
        <v>209</v>
      </c>
      <c r="C181" s="10" t="s">
        <v>25</v>
      </c>
      <c r="D181" s="11">
        <v>45527.0</v>
      </c>
      <c r="E181" s="10" t="s">
        <v>26</v>
      </c>
      <c r="F181" s="12">
        <v>15.0</v>
      </c>
      <c r="G181" s="10" t="s">
        <v>27</v>
      </c>
      <c r="H181" s="10" t="s">
        <v>26</v>
      </c>
      <c r="I181" s="12">
        <v>30.0</v>
      </c>
      <c r="J181" s="10" t="s">
        <v>26</v>
      </c>
      <c r="K181" s="12">
        <v>20.0</v>
      </c>
      <c r="L181" s="12">
        <v>15.0</v>
      </c>
      <c r="M181" s="12">
        <v>50.0</v>
      </c>
    </row>
    <row r="182" ht="16.5" hidden="1" customHeight="1">
      <c r="A182" s="10">
        <v>3411.0</v>
      </c>
      <c r="B182" s="10" t="s">
        <v>210</v>
      </c>
      <c r="C182" s="10" t="s">
        <v>34</v>
      </c>
      <c r="D182" s="11">
        <v>45528.0</v>
      </c>
      <c r="E182" s="10" t="s">
        <v>30</v>
      </c>
      <c r="F182" s="12">
        <v>10.0</v>
      </c>
      <c r="G182" s="10" t="s">
        <v>27</v>
      </c>
      <c r="H182" s="10" t="s">
        <v>30</v>
      </c>
      <c r="I182" s="12" t="s">
        <v>32</v>
      </c>
      <c r="J182" s="10" t="s">
        <v>26</v>
      </c>
      <c r="K182" s="12">
        <v>20.0</v>
      </c>
      <c r="L182" s="12">
        <v>5.0</v>
      </c>
      <c r="M182" s="12">
        <v>25.0</v>
      </c>
    </row>
    <row r="183" ht="16.5" hidden="1" customHeight="1">
      <c r="A183" s="10">
        <v>3412.0</v>
      </c>
      <c r="B183" s="10" t="s">
        <v>211</v>
      </c>
      <c r="C183" s="10" t="s">
        <v>29</v>
      </c>
      <c r="D183" s="11">
        <v>45529.0</v>
      </c>
      <c r="E183" s="10" t="s">
        <v>26</v>
      </c>
      <c r="F183" s="12">
        <v>5.0</v>
      </c>
      <c r="G183" s="10" t="s">
        <v>31</v>
      </c>
      <c r="H183" s="10" t="s">
        <v>30</v>
      </c>
      <c r="I183" s="12" t="s">
        <v>32</v>
      </c>
      <c r="J183" s="10" t="s">
        <v>30</v>
      </c>
      <c r="K183" s="12">
        <v>0.0</v>
      </c>
      <c r="L183" s="12">
        <v>0.0</v>
      </c>
      <c r="M183" s="12">
        <v>5.0</v>
      </c>
    </row>
    <row r="184" ht="16.5" customHeight="1">
      <c r="A184" s="10">
        <v>3413.0</v>
      </c>
      <c r="B184" s="10" t="s">
        <v>212</v>
      </c>
      <c r="C184" s="10" t="s">
        <v>25</v>
      </c>
      <c r="D184" s="11">
        <v>45530.0</v>
      </c>
      <c r="E184" s="10" t="s">
        <v>30</v>
      </c>
      <c r="F184" s="12">
        <v>15.0</v>
      </c>
      <c r="G184" s="10" t="s">
        <v>35</v>
      </c>
      <c r="H184" s="10" t="s">
        <v>26</v>
      </c>
      <c r="I184" s="12">
        <v>30.0</v>
      </c>
      <c r="J184" s="10" t="s">
        <v>26</v>
      </c>
      <c r="K184" s="12">
        <v>20.0</v>
      </c>
      <c r="L184" s="12">
        <v>20.0</v>
      </c>
      <c r="M184" s="12">
        <v>45.0</v>
      </c>
    </row>
    <row r="185" ht="16.5" hidden="1" customHeight="1">
      <c r="A185" s="10">
        <v>3414.0</v>
      </c>
      <c r="B185" s="10" t="s">
        <v>213</v>
      </c>
      <c r="C185" s="10" t="s">
        <v>34</v>
      </c>
      <c r="D185" s="11">
        <v>45531.0</v>
      </c>
      <c r="E185" s="10" t="s">
        <v>26</v>
      </c>
      <c r="F185" s="12">
        <v>10.0</v>
      </c>
      <c r="G185" s="10" t="s">
        <v>35</v>
      </c>
      <c r="H185" s="10" t="s">
        <v>30</v>
      </c>
      <c r="I185" s="12" t="s">
        <v>32</v>
      </c>
      <c r="J185" s="10" t="s">
        <v>26</v>
      </c>
      <c r="K185" s="12">
        <v>20.0</v>
      </c>
      <c r="L185" s="12">
        <v>12.0</v>
      </c>
      <c r="M185" s="12">
        <v>18.0</v>
      </c>
    </row>
    <row r="186" ht="16.5" hidden="1" customHeight="1">
      <c r="A186" s="10">
        <v>3415.0</v>
      </c>
      <c r="B186" s="10" t="s">
        <v>214</v>
      </c>
      <c r="C186" s="10" t="s">
        <v>29</v>
      </c>
      <c r="D186" s="11">
        <v>45532.0</v>
      </c>
      <c r="E186" s="10" t="s">
        <v>30</v>
      </c>
      <c r="F186" s="12">
        <v>5.0</v>
      </c>
      <c r="G186" s="10" t="s">
        <v>27</v>
      </c>
      <c r="H186" s="10" t="s">
        <v>30</v>
      </c>
      <c r="I186" s="12" t="s">
        <v>32</v>
      </c>
      <c r="J186" s="10" t="s">
        <v>30</v>
      </c>
      <c r="K186" s="12">
        <v>0.0</v>
      </c>
      <c r="L186" s="12">
        <v>2.0</v>
      </c>
      <c r="M186" s="12">
        <v>3.0</v>
      </c>
    </row>
    <row r="187" ht="16.5" customHeight="1">
      <c r="A187" s="10">
        <v>3416.0</v>
      </c>
      <c r="B187" s="10" t="s">
        <v>215</v>
      </c>
      <c r="C187" s="10" t="s">
        <v>25</v>
      </c>
      <c r="D187" s="11">
        <v>45533.0</v>
      </c>
      <c r="E187" s="10" t="s">
        <v>26</v>
      </c>
      <c r="F187" s="12">
        <v>15.0</v>
      </c>
      <c r="G187" s="10" t="s">
        <v>31</v>
      </c>
      <c r="H187" s="10" t="s">
        <v>26</v>
      </c>
      <c r="I187" s="12">
        <v>30.0</v>
      </c>
      <c r="J187" s="10" t="s">
        <v>26</v>
      </c>
      <c r="K187" s="12">
        <v>20.0</v>
      </c>
      <c r="L187" s="12">
        <v>5.0</v>
      </c>
      <c r="M187" s="12">
        <v>60.0</v>
      </c>
    </row>
    <row r="188" ht="16.5" hidden="1" customHeight="1">
      <c r="A188" s="10">
        <v>3417.0</v>
      </c>
      <c r="B188" s="10" t="s">
        <v>216</v>
      </c>
      <c r="C188" s="10" t="s">
        <v>34</v>
      </c>
      <c r="D188" s="11">
        <v>45534.0</v>
      </c>
      <c r="E188" s="10" t="s">
        <v>30</v>
      </c>
      <c r="F188" s="12">
        <v>10.0</v>
      </c>
      <c r="G188" s="10" t="s">
        <v>27</v>
      </c>
      <c r="H188" s="10" t="s">
        <v>30</v>
      </c>
      <c r="I188" s="12" t="s">
        <v>32</v>
      </c>
      <c r="J188" s="10" t="s">
        <v>26</v>
      </c>
      <c r="K188" s="12">
        <v>20.0</v>
      </c>
      <c r="L188" s="12">
        <v>10.0</v>
      </c>
      <c r="M188" s="12">
        <v>20.0</v>
      </c>
    </row>
    <row r="189" ht="16.5" hidden="1" customHeight="1">
      <c r="A189" s="10">
        <v>3418.0</v>
      </c>
      <c r="B189" s="10" t="s">
        <v>217</v>
      </c>
      <c r="C189" s="10" t="s">
        <v>29</v>
      </c>
      <c r="D189" s="11">
        <v>45535.0</v>
      </c>
      <c r="E189" s="10" t="s">
        <v>26</v>
      </c>
      <c r="F189" s="12">
        <v>5.0</v>
      </c>
      <c r="G189" s="10" t="s">
        <v>35</v>
      </c>
      <c r="H189" s="10" t="s">
        <v>30</v>
      </c>
      <c r="I189" s="12" t="s">
        <v>32</v>
      </c>
      <c r="J189" s="10" t="s">
        <v>30</v>
      </c>
      <c r="K189" s="12">
        <v>0.0</v>
      </c>
      <c r="L189" s="12">
        <v>0.0</v>
      </c>
      <c r="M189" s="12">
        <v>5.0</v>
      </c>
    </row>
    <row r="190" ht="16.5" customHeight="1">
      <c r="A190" s="10">
        <v>3419.0</v>
      </c>
      <c r="B190" s="10" t="s">
        <v>218</v>
      </c>
      <c r="C190" s="10" t="s">
        <v>25</v>
      </c>
      <c r="D190" s="11">
        <v>45536.0</v>
      </c>
      <c r="E190" s="10" t="s">
        <v>30</v>
      </c>
      <c r="F190" s="12">
        <v>15.0</v>
      </c>
      <c r="G190" s="10" t="s">
        <v>27</v>
      </c>
      <c r="H190" s="10" t="s">
        <v>26</v>
      </c>
      <c r="I190" s="12">
        <v>30.0</v>
      </c>
      <c r="J190" s="10" t="s">
        <v>26</v>
      </c>
      <c r="K190" s="12">
        <v>20.0</v>
      </c>
      <c r="L190" s="12">
        <v>3.0</v>
      </c>
      <c r="M190" s="12">
        <v>62.0</v>
      </c>
    </row>
    <row r="191" ht="16.5" hidden="1" customHeight="1">
      <c r="A191" s="10">
        <v>3420.0</v>
      </c>
      <c r="B191" s="10" t="s">
        <v>219</v>
      </c>
      <c r="C191" s="10" t="s">
        <v>34</v>
      </c>
      <c r="D191" s="11">
        <v>45537.0</v>
      </c>
      <c r="E191" s="10" t="s">
        <v>26</v>
      </c>
      <c r="F191" s="12">
        <v>10.0</v>
      </c>
      <c r="G191" s="10" t="s">
        <v>31</v>
      </c>
      <c r="H191" s="10" t="s">
        <v>30</v>
      </c>
      <c r="I191" s="12" t="s">
        <v>32</v>
      </c>
      <c r="J191" s="10" t="s">
        <v>26</v>
      </c>
      <c r="K191" s="12">
        <v>20.0</v>
      </c>
      <c r="L191" s="12">
        <v>15.0</v>
      </c>
      <c r="M191" s="12">
        <v>15.0</v>
      </c>
    </row>
    <row r="192" ht="16.5" hidden="1" customHeight="1">
      <c r="A192" s="10">
        <v>3421.0</v>
      </c>
      <c r="B192" s="10" t="s">
        <v>48</v>
      </c>
      <c r="C192" s="10" t="s">
        <v>29</v>
      </c>
      <c r="D192" s="11">
        <v>45538.0</v>
      </c>
      <c r="E192" s="10" t="s">
        <v>30</v>
      </c>
      <c r="F192" s="12">
        <v>5.0</v>
      </c>
      <c r="G192" s="10" t="s">
        <v>27</v>
      </c>
      <c r="H192" s="10" t="s">
        <v>30</v>
      </c>
      <c r="I192" s="12" t="s">
        <v>32</v>
      </c>
      <c r="J192" s="10" t="s">
        <v>30</v>
      </c>
      <c r="K192" s="12">
        <v>0.0</v>
      </c>
      <c r="L192" s="12">
        <v>1.0</v>
      </c>
      <c r="M192" s="12">
        <v>4.0</v>
      </c>
    </row>
    <row r="193" ht="16.5" customHeight="1">
      <c r="A193" s="10">
        <v>3422.0</v>
      </c>
      <c r="B193" s="10" t="s">
        <v>220</v>
      </c>
      <c r="C193" s="10" t="s">
        <v>25</v>
      </c>
      <c r="D193" s="11">
        <v>45539.0</v>
      </c>
      <c r="E193" s="10" t="s">
        <v>26</v>
      </c>
      <c r="F193" s="12">
        <v>15.0</v>
      </c>
      <c r="G193" s="10" t="s">
        <v>35</v>
      </c>
      <c r="H193" s="10" t="s">
        <v>26</v>
      </c>
      <c r="I193" s="12">
        <v>30.0</v>
      </c>
      <c r="J193" s="10" t="s">
        <v>26</v>
      </c>
      <c r="K193" s="12">
        <v>20.0</v>
      </c>
      <c r="L193" s="12">
        <v>7.0</v>
      </c>
      <c r="M193" s="12">
        <v>58.0</v>
      </c>
    </row>
    <row r="194" ht="16.5" hidden="1" customHeight="1">
      <c r="A194" s="10">
        <v>3423.0</v>
      </c>
      <c r="B194" s="10" t="s">
        <v>221</v>
      </c>
      <c r="C194" s="10" t="s">
        <v>34</v>
      </c>
      <c r="D194" s="11">
        <v>45540.0</v>
      </c>
      <c r="E194" s="10" t="s">
        <v>30</v>
      </c>
      <c r="F194" s="12">
        <v>10.0</v>
      </c>
      <c r="G194" s="10" t="s">
        <v>27</v>
      </c>
      <c r="H194" s="10" t="s">
        <v>30</v>
      </c>
      <c r="I194" s="12" t="s">
        <v>32</v>
      </c>
      <c r="J194" s="10" t="s">
        <v>26</v>
      </c>
      <c r="K194" s="12">
        <v>20.0</v>
      </c>
      <c r="L194" s="12">
        <v>10.0</v>
      </c>
      <c r="M194" s="12">
        <v>20.0</v>
      </c>
    </row>
    <row r="195" ht="16.5" hidden="1" customHeight="1">
      <c r="A195" s="10">
        <v>3424.0</v>
      </c>
      <c r="B195" s="10" t="s">
        <v>47</v>
      </c>
      <c r="C195" s="10" t="s">
        <v>29</v>
      </c>
      <c r="D195" s="11">
        <v>45541.0</v>
      </c>
      <c r="E195" s="10" t="s">
        <v>26</v>
      </c>
      <c r="F195" s="12">
        <v>5.0</v>
      </c>
      <c r="G195" s="10" t="s">
        <v>31</v>
      </c>
      <c r="H195" s="10" t="s">
        <v>30</v>
      </c>
      <c r="I195" s="12" t="s">
        <v>32</v>
      </c>
      <c r="J195" s="10" t="s">
        <v>30</v>
      </c>
      <c r="K195" s="12">
        <v>0.0</v>
      </c>
      <c r="L195" s="12">
        <v>0.0</v>
      </c>
      <c r="M195" s="12">
        <v>5.0</v>
      </c>
    </row>
    <row r="196" ht="16.5" customHeight="1">
      <c r="A196" s="10">
        <v>3425.0</v>
      </c>
      <c r="B196" s="10" t="s">
        <v>222</v>
      </c>
      <c r="C196" s="10" t="s">
        <v>25</v>
      </c>
      <c r="D196" s="11">
        <v>45542.0</v>
      </c>
      <c r="E196" s="10" t="s">
        <v>30</v>
      </c>
      <c r="F196" s="12">
        <v>15.0</v>
      </c>
      <c r="G196" s="10" t="s">
        <v>27</v>
      </c>
      <c r="H196" s="10" t="s">
        <v>26</v>
      </c>
      <c r="I196" s="12">
        <v>30.0</v>
      </c>
      <c r="J196" s="10" t="s">
        <v>26</v>
      </c>
      <c r="K196" s="12">
        <v>20.0</v>
      </c>
      <c r="L196" s="12">
        <v>20.0</v>
      </c>
      <c r="M196" s="12">
        <v>45.0</v>
      </c>
    </row>
    <row r="197" ht="16.5" hidden="1" customHeight="1">
      <c r="A197" s="10">
        <v>3426.0</v>
      </c>
      <c r="B197" s="10" t="s">
        <v>200</v>
      </c>
      <c r="C197" s="10" t="s">
        <v>34</v>
      </c>
      <c r="D197" s="11">
        <v>45543.0</v>
      </c>
      <c r="E197" s="10" t="s">
        <v>26</v>
      </c>
      <c r="F197" s="12">
        <v>10.0</v>
      </c>
      <c r="G197" s="10" t="s">
        <v>35</v>
      </c>
      <c r="H197" s="10" t="s">
        <v>30</v>
      </c>
      <c r="I197" s="12" t="s">
        <v>32</v>
      </c>
      <c r="J197" s="10" t="s">
        <v>26</v>
      </c>
      <c r="K197" s="12">
        <v>20.0</v>
      </c>
      <c r="L197" s="12">
        <v>15.0</v>
      </c>
      <c r="M197" s="12">
        <v>15.0</v>
      </c>
    </row>
    <row r="198" ht="16.5" hidden="1" customHeight="1">
      <c r="A198" s="10">
        <v>3427.0</v>
      </c>
      <c r="B198" s="10" t="s">
        <v>223</v>
      </c>
      <c r="C198" s="10" t="s">
        <v>29</v>
      </c>
      <c r="D198" s="11">
        <v>45544.0</v>
      </c>
      <c r="E198" s="10" t="s">
        <v>30</v>
      </c>
      <c r="F198" s="12">
        <v>5.0</v>
      </c>
      <c r="G198" s="10" t="s">
        <v>27</v>
      </c>
      <c r="H198" s="10" t="s">
        <v>30</v>
      </c>
      <c r="I198" s="12" t="s">
        <v>32</v>
      </c>
      <c r="J198" s="10" t="s">
        <v>30</v>
      </c>
      <c r="K198" s="12">
        <v>0.0</v>
      </c>
      <c r="L198" s="12">
        <v>1.0</v>
      </c>
      <c r="M198" s="12">
        <v>4.0</v>
      </c>
    </row>
    <row r="199" ht="16.5" customHeight="1">
      <c r="A199" s="10">
        <v>3428.0</v>
      </c>
      <c r="B199" s="10" t="s">
        <v>224</v>
      </c>
      <c r="C199" s="10" t="s">
        <v>25</v>
      </c>
      <c r="D199" s="11">
        <v>45545.0</v>
      </c>
      <c r="E199" s="10" t="s">
        <v>26</v>
      </c>
      <c r="F199" s="12">
        <v>15.0</v>
      </c>
      <c r="G199" s="10" t="s">
        <v>31</v>
      </c>
      <c r="H199" s="10" t="s">
        <v>26</v>
      </c>
      <c r="I199" s="12">
        <v>30.0</v>
      </c>
      <c r="J199" s="10" t="s">
        <v>26</v>
      </c>
      <c r="K199" s="12">
        <v>20.0</v>
      </c>
      <c r="L199" s="12">
        <v>3.0</v>
      </c>
      <c r="M199" s="12">
        <v>62.0</v>
      </c>
    </row>
    <row r="200" ht="16.5" hidden="1" customHeight="1">
      <c r="A200" s="10">
        <v>3429.0</v>
      </c>
      <c r="B200" s="10" t="s">
        <v>225</v>
      </c>
      <c r="C200" s="10" t="s">
        <v>34</v>
      </c>
      <c r="D200" s="11">
        <v>45546.0</v>
      </c>
      <c r="E200" s="10" t="s">
        <v>30</v>
      </c>
      <c r="F200" s="12">
        <v>10.0</v>
      </c>
      <c r="G200" s="10" t="s">
        <v>27</v>
      </c>
      <c r="H200" s="10" t="s">
        <v>30</v>
      </c>
      <c r="I200" s="12" t="s">
        <v>32</v>
      </c>
      <c r="J200" s="10" t="s">
        <v>26</v>
      </c>
      <c r="K200" s="12">
        <v>20.0</v>
      </c>
      <c r="L200" s="12">
        <v>10.0</v>
      </c>
      <c r="M200" s="12">
        <v>20.0</v>
      </c>
    </row>
    <row r="201" ht="16.5" hidden="1" customHeight="1">
      <c r="A201" s="10">
        <v>3430.0</v>
      </c>
      <c r="B201" s="10" t="s">
        <v>226</v>
      </c>
      <c r="C201" s="10" t="s">
        <v>29</v>
      </c>
      <c r="D201" s="11">
        <v>45547.0</v>
      </c>
      <c r="E201" s="10" t="s">
        <v>26</v>
      </c>
      <c r="F201" s="12">
        <v>5.0</v>
      </c>
      <c r="G201" s="10" t="s">
        <v>35</v>
      </c>
      <c r="H201" s="10" t="s">
        <v>30</v>
      </c>
      <c r="I201" s="12" t="s">
        <v>32</v>
      </c>
      <c r="J201" s="10" t="s">
        <v>30</v>
      </c>
      <c r="K201" s="12">
        <v>0.0</v>
      </c>
      <c r="L201" s="12">
        <v>0.0</v>
      </c>
      <c r="M201" s="12">
        <v>5.0</v>
      </c>
    </row>
    <row r="202" ht="16.5" customHeight="1">
      <c r="A202" s="10">
        <v>3431.0</v>
      </c>
      <c r="B202" s="10" t="s">
        <v>227</v>
      </c>
      <c r="C202" s="10" t="s">
        <v>25</v>
      </c>
      <c r="D202" s="11">
        <v>45548.0</v>
      </c>
      <c r="E202" s="10" t="s">
        <v>30</v>
      </c>
      <c r="F202" s="12">
        <v>15.0</v>
      </c>
      <c r="G202" s="10" t="s">
        <v>27</v>
      </c>
      <c r="H202" s="10" t="s">
        <v>26</v>
      </c>
      <c r="I202" s="12">
        <v>30.0</v>
      </c>
      <c r="J202" s="10" t="s">
        <v>26</v>
      </c>
      <c r="K202" s="12">
        <v>20.0</v>
      </c>
      <c r="L202" s="12">
        <v>15.0</v>
      </c>
      <c r="M202" s="12">
        <v>50.0</v>
      </c>
    </row>
    <row r="203" ht="16.5" hidden="1" customHeight="1">
      <c r="A203" s="10">
        <v>3432.0</v>
      </c>
      <c r="B203" s="10" t="s">
        <v>228</v>
      </c>
      <c r="C203" s="10" t="s">
        <v>34</v>
      </c>
      <c r="D203" s="11">
        <v>45549.0</v>
      </c>
      <c r="E203" s="10" t="s">
        <v>26</v>
      </c>
      <c r="F203" s="12">
        <v>10.0</v>
      </c>
      <c r="G203" s="10" t="s">
        <v>31</v>
      </c>
      <c r="H203" s="10" t="s">
        <v>30</v>
      </c>
      <c r="I203" s="12" t="s">
        <v>32</v>
      </c>
      <c r="J203" s="10" t="s">
        <v>26</v>
      </c>
      <c r="K203" s="12">
        <v>20.0</v>
      </c>
      <c r="L203" s="12">
        <v>15.0</v>
      </c>
      <c r="M203" s="12">
        <v>15.0</v>
      </c>
    </row>
    <row r="204" ht="16.5" hidden="1" customHeight="1">
      <c r="A204" s="10">
        <v>3433.0</v>
      </c>
      <c r="B204" s="10" t="s">
        <v>229</v>
      </c>
      <c r="C204" s="10" t="s">
        <v>29</v>
      </c>
      <c r="D204" s="11">
        <v>45550.0</v>
      </c>
      <c r="E204" s="10" t="s">
        <v>30</v>
      </c>
      <c r="F204" s="12">
        <v>5.0</v>
      </c>
      <c r="G204" s="10" t="s">
        <v>27</v>
      </c>
      <c r="H204" s="10" t="s">
        <v>30</v>
      </c>
      <c r="I204" s="12" t="s">
        <v>32</v>
      </c>
      <c r="J204" s="10" t="s">
        <v>30</v>
      </c>
      <c r="K204" s="12">
        <v>0.0</v>
      </c>
      <c r="L204" s="12">
        <v>1.0</v>
      </c>
      <c r="M204" s="12">
        <v>4.0</v>
      </c>
    </row>
    <row r="205" ht="16.5" customHeight="1">
      <c r="A205" s="10">
        <v>3434.0</v>
      </c>
      <c r="B205" s="10" t="s">
        <v>230</v>
      </c>
      <c r="C205" s="10" t="s">
        <v>25</v>
      </c>
      <c r="D205" s="11">
        <v>45551.0</v>
      </c>
      <c r="E205" s="10" t="s">
        <v>26</v>
      </c>
      <c r="F205" s="12">
        <v>15.0</v>
      </c>
      <c r="G205" s="10" t="s">
        <v>35</v>
      </c>
      <c r="H205" s="10" t="s">
        <v>26</v>
      </c>
      <c r="I205" s="12">
        <v>30.0</v>
      </c>
      <c r="J205" s="10" t="s">
        <v>26</v>
      </c>
      <c r="K205" s="12">
        <v>20.0</v>
      </c>
      <c r="L205" s="12">
        <v>7.0</v>
      </c>
      <c r="M205" s="12">
        <v>58.0</v>
      </c>
    </row>
    <row r="206" ht="16.5" hidden="1" customHeight="1">
      <c r="A206" s="10">
        <v>3435.0</v>
      </c>
      <c r="B206" s="10" t="s">
        <v>231</v>
      </c>
      <c r="C206" s="10" t="s">
        <v>34</v>
      </c>
      <c r="D206" s="11">
        <v>45552.0</v>
      </c>
      <c r="E206" s="10" t="s">
        <v>30</v>
      </c>
      <c r="F206" s="12">
        <v>10.0</v>
      </c>
      <c r="G206" s="10" t="s">
        <v>27</v>
      </c>
      <c r="H206" s="10" t="s">
        <v>30</v>
      </c>
      <c r="I206" s="12" t="s">
        <v>32</v>
      </c>
      <c r="J206" s="10" t="s">
        <v>26</v>
      </c>
      <c r="K206" s="12">
        <v>20.0</v>
      </c>
      <c r="L206" s="12">
        <v>10.0</v>
      </c>
      <c r="M206" s="12">
        <v>20.0</v>
      </c>
    </row>
    <row r="207" ht="16.5" hidden="1" customHeight="1">
      <c r="A207" s="10">
        <v>3436.0</v>
      </c>
      <c r="B207" s="10" t="s">
        <v>232</v>
      </c>
      <c r="C207" s="10" t="s">
        <v>29</v>
      </c>
      <c r="D207" s="11">
        <v>45553.0</v>
      </c>
      <c r="E207" s="10" t="s">
        <v>26</v>
      </c>
      <c r="F207" s="12">
        <v>5.0</v>
      </c>
      <c r="G207" s="10" t="s">
        <v>27</v>
      </c>
      <c r="H207" s="10" t="s">
        <v>30</v>
      </c>
      <c r="I207" s="12" t="s">
        <v>32</v>
      </c>
      <c r="J207" s="10" t="s">
        <v>30</v>
      </c>
      <c r="K207" s="12">
        <v>0.0</v>
      </c>
      <c r="L207" s="12">
        <v>0.0</v>
      </c>
      <c r="M207" s="12">
        <v>5.0</v>
      </c>
    </row>
    <row r="208" ht="16.5" customHeight="1">
      <c r="A208" s="10">
        <v>3437.0</v>
      </c>
      <c r="B208" s="10" t="s">
        <v>233</v>
      </c>
      <c r="C208" s="10" t="s">
        <v>25</v>
      </c>
      <c r="D208" s="11">
        <v>45554.0</v>
      </c>
      <c r="E208" s="10" t="s">
        <v>30</v>
      </c>
      <c r="F208" s="12">
        <v>15.0</v>
      </c>
      <c r="G208" s="10" t="s">
        <v>35</v>
      </c>
      <c r="H208" s="10" t="s">
        <v>26</v>
      </c>
      <c r="I208" s="12">
        <v>30.0</v>
      </c>
      <c r="J208" s="10" t="s">
        <v>26</v>
      </c>
      <c r="K208" s="12">
        <v>20.0</v>
      </c>
      <c r="L208" s="12">
        <v>7.0</v>
      </c>
      <c r="M208" s="12">
        <v>58.0</v>
      </c>
    </row>
    <row r="209" ht="16.5" hidden="1" customHeight="1">
      <c r="A209" s="10">
        <v>3438.0</v>
      </c>
      <c r="B209" s="10" t="s">
        <v>234</v>
      </c>
      <c r="C209" s="10" t="s">
        <v>34</v>
      </c>
      <c r="D209" s="11">
        <v>45555.0</v>
      </c>
      <c r="E209" s="10" t="s">
        <v>26</v>
      </c>
      <c r="F209" s="12">
        <v>10.0</v>
      </c>
      <c r="G209" s="10" t="s">
        <v>31</v>
      </c>
      <c r="H209" s="10" t="s">
        <v>30</v>
      </c>
      <c r="I209" s="12" t="s">
        <v>32</v>
      </c>
      <c r="J209" s="10" t="s">
        <v>26</v>
      </c>
      <c r="K209" s="12">
        <v>20.0</v>
      </c>
      <c r="L209" s="12">
        <v>10.0</v>
      </c>
      <c r="M209" s="12">
        <v>20.0</v>
      </c>
    </row>
    <row r="210" ht="16.5" hidden="1" customHeight="1">
      <c r="A210" s="10">
        <v>3439.0</v>
      </c>
      <c r="B210" s="10" t="s">
        <v>235</v>
      </c>
      <c r="C210" s="10" t="s">
        <v>29</v>
      </c>
      <c r="D210" s="11">
        <v>45556.0</v>
      </c>
      <c r="E210" s="10" t="s">
        <v>30</v>
      </c>
      <c r="F210" s="12">
        <v>5.0</v>
      </c>
      <c r="G210" s="10" t="s">
        <v>35</v>
      </c>
      <c r="H210" s="10" t="s">
        <v>30</v>
      </c>
      <c r="I210" s="12" t="s">
        <v>32</v>
      </c>
      <c r="J210" s="10" t="s">
        <v>30</v>
      </c>
      <c r="K210" s="12">
        <v>0.0</v>
      </c>
      <c r="L210" s="12">
        <v>1.0</v>
      </c>
      <c r="M210" s="12">
        <v>4.0</v>
      </c>
    </row>
    <row r="211" ht="16.5" customHeight="1">
      <c r="A211" s="10">
        <v>3440.0</v>
      </c>
      <c r="B211" s="10" t="s">
        <v>236</v>
      </c>
      <c r="C211" s="10" t="s">
        <v>25</v>
      </c>
      <c r="D211" s="11">
        <v>45557.0</v>
      </c>
      <c r="E211" s="10" t="s">
        <v>26</v>
      </c>
      <c r="F211" s="12">
        <v>15.0</v>
      </c>
      <c r="G211" s="10" t="s">
        <v>27</v>
      </c>
      <c r="H211" s="10" t="s">
        <v>26</v>
      </c>
      <c r="I211" s="12">
        <v>30.0</v>
      </c>
      <c r="J211" s="10" t="s">
        <v>26</v>
      </c>
      <c r="K211" s="12">
        <v>20.0</v>
      </c>
      <c r="L211" s="12">
        <v>15.0</v>
      </c>
      <c r="M211" s="12">
        <v>50.0</v>
      </c>
    </row>
    <row r="212" ht="16.5" hidden="1" customHeight="1">
      <c r="A212" s="10">
        <v>3441.0</v>
      </c>
      <c r="B212" s="10" t="s">
        <v>237</v>
      </c>
      <c r="C212" s="10" t="s">
        <v>34</v>
      </c>
      <c r="D212" s="11">
        <v>45558.0</v>
      </c>
      <c r="E212" s="10" t="s">
        <v>30</v>
      </c>
      <c r="F212" s="12">
        <v>10.0</v>
      </c>
      <c r="G212" s="10" t="s">
        <v>27</v>
      </c>
      <c r="H212" s="10" t="s">
        <v>30</v>
      </c>
      <c r="I212" s="12" t="s">
        <v>32</v>
      </c>
      <c r="J212" s="10" t="s">
        <v>26</v>
      </c>
      <c r="K212" s="12">
        <v>20.0</v>
      </c>
      <c r="L212" s="12">
        <v>5.0</v>
      </c>
      <c r="M212" s="12">
        <v>25.0</v>
      </c>
    </row>
    <row r="213" ht="16.5" hidden="1" customHeight="1">
      <c r="A213" s="10">
        <v>3442.0</v>
      </c>
      <c r="B213" s="10" t="s">
        <v>238</v>
      </c>
      <c r="C213" s="10" t="s">
        <v>29</v>
      </c>
      <c r="D213" s="11">
        <v>45559.0</v>
      </c>
      <c r="E213" s="10" t="s">
        <v>26</v>
      </c>
      <c r="F213" s="12">
        <v>5.0</v>
      </c>
      <c r="G213" s="10" t="s">
        <v>31</v>
      </c>
      <c r="H213" s="10" t="s">
        <v>30</v>
      </c>
      <c r="I213" s="12" t="s">
        <v>32</v>
      </c>
      <c r="J213" s="10" t="s">
        <v>30</v>
      </c>
      <c r="K213" s="12">
        <v>0.0</v>
      </c>
      <c r="L213" s="12">
        <v>0.0</v>
      </c>
      <c r="M213" s="12">
        <v>5.0</v>
      </c>
    </row>
    <row r="214" ht="16.5" customHeight="1">
      <c r="A214" s="10">
        <v>3443.0</v>
      </c>
      <c r="B214" s="10" t="s">
        <v>239</v>
      </c>
      <c r="C214" s="10" t="s">
        <v>25</v>
      </c>
      <c r="D214" s="11">
        <v>45560.0</v>
      </c>
      <c r="E214" s="10" t="s">
        <v>30</v>
      </c>
      <c r="F214" s="12">
        <v>15.0</v>
      </c>
      <c r="G214" s="10" t="s">
        <v>35</v>
      </c>
      <c r="H214" s="10" t="s">
        <v>26</v>
      </c>
      <c r="I214" s="12">
        <v>30.0</v>
      </c>
      <c r="J214" s="10" t="s">
        <v>26</v>
      </c>
      <c r="K214" s="12">
        <v>20.0</v>
      </c>
      <c r="L214" s="12">
        <v>20.0</v>
      </c>
      <c r="M214" s="12">
        <v>45.0</v>
      </c>
    </row>
    <row r="215" ht="16.5" hidden="1" customHeight="1">
      <c r="A215" s="10">
        <v>3444.0</v>
      </c>
      <c r="B215" s="10" t="s">
        <v>240</v>
      </c>
      <c r="C215" s="10" t="s">
        <v>34</v>
      </c>
      <c r="D215" s="11">
        <v>45561.0</v>
      </c>
      <c r="E215" s="10" t="s">
        <v>26</v>
      </c>
      <c r="F215" s="12">
        <v>10.0</v>
      </c>
      <c r="G215" s="10" t="s">
        <v>35</v>
      </c>
      <c r="H215" s="10" t="s">
        <v>30</v>
      </c>
      <c r="I215" s="12" t="s">
        <v>32</v>
      </c>
      <c r="J215" s="10" t="s">
        <v>26</v>
      </c>
      <c r="K215" s="12">
        <v>20.0</v>
      </c>
      <c r="L215" s="12">
        <v>12.0</v>
      </c>
      <c r="M215" s="12">
        <v>18.0</v>
      </c>
    </row>
    <row r="216" ht="16.5" hidden="1" customHeight="1">
      <c r="A216" s="10">
        <v>3445.0</v>
      </c>
      <c r="B216" s="10" t="s">
        <v>70</v>
      </c>
      <c r="C216" s="10" t="s">
        <v>29</v>
      </c>
      <c r="D216" s="11">
        <v>45562.0</v>
      </c>
      <c r="E216" s="10" t="s">
        <v>30</v>
      </c>
      <c r="F216" s="12">
        <v>5.0</v>
      </c>
      <c r="G216" s="10" t="s">
        <v>27</v>
      </c>
      <c r="H216" s="10" t="s">
        <v>30</v>
      </c>
      <c r="I216" s="12" t="s">
        <v>32</v>
      </c>
      <c r="J216" s="10" t="s">
        <v>30</v>
      </c>
      <c r="K216" s="12">
        <v>0.0</v>
      </c>
      <c r="L216" s="12">
        <v>2.0</v>
      </c>
      <c r="M216" s="12">
        <v>3.0</v>
      </c>
    </row>
    <row r="217" ht="16.5" customHeight="1">
      <c r="A217" s="10">
        <v>3446.0</v>
      </c>
      <c r="B217" s="10" t="s">
        <v>241</v>
      </c>
      <c r="C217" s="10" t="s">
        <v>25</v>
      </c>
      <c r="D217" s="11">
        <v>45563.0</v>
      </c>
      <c r="E217" s="10" t="s">
        <v>26</v>
      </c>
      <c r="F217" s="12">
        <v>15.0</v>
      </c>
      <c r="G217" s="10" t="s">
        <v>31</v>
      </c>
      <c r="H217" s="10" t="s">
        <v>26</v>
      </c>
      <c r="I217" s="12">
        <v>30.0</v>
      </c>
      <c r="J217" s="10" t="s">
        <v>26</v>
      </c>
      <c r="K217" s="12">
        <v>20.0</v>
      </c>
      <c r="L217" s="12">
        <v>5.0</v>
      </c>
      <c r="M217" s="12">
        <v>60.0</v>
      </c>
    </row>
    <row r="218" ht="16.5" hidden="1" customHeight="1">
      <c r="A218" s="10">
        <v>3447.0</v>
      </c>
      <c r="B218" s="10" t="s">
        <v>242</v>
      </c>
      <c r="C218" s="10" t="s">
        <v>34</v>
      </c>
      <c r="D218" s="11">
        <v>45564.0</v>
      </c>
      <c r="E218" s="10" t="s">
        <v>30</v>
      </c>
      <c r="F218" s="12">
        <v>10.0</v>
      </c>
      <c r="G218" s="10" t="s">
        <v>27</v>
      </c>
      <c r="H218" s="10" t="s">
        <v>30</v>
      </c>
      <c r="I218" s="12" t="s">
        <v>32</v>
      </c>
      <c r="J218" s="10" t="s">
        <v>26</v>
      </c>
      <c r="K218" s="12">
        <v>20.0</v>
      </c>
      <c r="L218" s="12">
        <v>10.0</v>
      </c>
      <c r="M218" s="12">
        <v>20.0</v>
      </c>
    </row>
    <row r="219" ht="16.5" hidden="1" customHeight="1">
      <c r="A219" s="10">
        <v>3448.0</v>
      </c>
      <c r="B219" s="10" t="s">
        <v>243</v>
      </c>
      <c r="C219" s="10" t="s">
        <v>29</v>
      </c>
      <c r="D219" s="11">
        <v>45565.0</v>
      </c>
      <c r="E219" s="10" t="s">
        <v>26</v>
      </c>
      <c r="F219" s="12">
        <v>5.0</v>
      </c>
      <c r="G219" s="10" t="s">
        <v>35</v>
      </c>
      <c r="H219" s="10" t="s">
        <v>30</v>
      </c>
      <c r="I219" s="12" t="s">
        <v>32</v>
      </c>
      <c r="J219" s="10" t="s">
        <v>30</v>
      </c>
      <c r="K219" s="12">
        <v>0.0</v>
      </c>
      <c r="L219" s="12">
        <v>0.0</v>
      </c>
      <c r="M219" s="12">
        <v>5.0</v>
      </c>
    </row>
    <row r="220" ht="16.5" customHeight="1">
      <c r="A220" s="10">
        <v>3449.0</v>
      </c>
      <c r="B220" s="10" t="s">
        <v>244</v>
      </c>
      <c r="C220" s="10" t="s">
        <v>25</v>
      </c>
      <c r="D220" s="11">
        <v>45566.0</v>
      </c>
      <c r="E220" s="10" t="s">
        <v>30</v>
      </c>
      <c r="F220" s="12">
        <v>15.0</v>
      </c>
      <c r="G220" s="10" t="s">
        <v>27</v>
      </c>
      <c r="H220" s="10" t="s">
        <v>26</v>
      </c>
      <c r="I220" s="12">
        <v>30.0</v>
      </c>
      <c r="J220" s="10" t="s">
        <v>26</v>
      </c>
      <c r="K220" s="12">
        <v>20.0</v>
      </c>
      <c r="L220" s="12">
        <v>3.0</v>
      </c>
      <c r="M220" s="12">
        <v>62.0</v>
      </c>
    </row>
    <row r="221" ht="16.5" hidden="1" customHeight="1">
      <c r="A221" s="10">
        <v>3450.0</v>
      </c>
      <c r="B221" s="10" t="s">
        <v>245</v>
      </c>
      <c r="C221" s="10" t="s">
        <v>34</v>
      </c>
      <c r="D221" s="11">
        <v>45567.0</v>
      </c>
      <c r="E221" s="10" t="s">
        <v>26</v>
      </c>
      <c r="F221" s="12">
        <v>10.0</v>
      </c>
      <c r="G221" s="10" t="s">
        <v>31</v>
      </c>
      <c r="H221" s="10" t="s">
        <v>30</v>
      </c>
      <c r="I221" s="12" t="s">
        <v>32</v>
      </c>
      <c r="J221" s="10" t="s">
        <v>26</v>
      </c>
      <c r="K221" s="12">
        <v>20.0</v>
      </c>
      <c r="L221" s="12">
        <v>15.0</v>
      </c>
      <c r="M221" s="12">
        <v>15.0</v>
      </c>
    </row>
    <row r="222" ht="16.5" hidden="1" customHeight="1">
      <c r="A222" s="10">
        <v>3451.0</v>
      </c>
      <c r="B222" s="10" t="s">
        <v>246</v>
      </c>
      <c r="C222" s="10" t="s">
        <v>29</v>
      </c>
      <c r="D222" s="11">
        <v>45568.0</v>
      </c>
      <c r="E222" s="10" t="s">
        <v>30</v>
      </c>
      <c r="F222" s="12">
        <v>5.0</v>
      </c>
      <c r="G222" s="10" t="s">
        <v>27</v>
      </c>
      <c r="H222" s="10" t="s">
        <v>30</v>
      </c>
      <c r="I222" s="12" t="s">
        <v>32</v>
      </c>
      <c r="J222" s="10" t="s">
        <v>30</v>
      </c>
      <c r="K222" s="12">
        <v>0.0</v>
      </c>
      <c r="L222" s="12">
        <v>1.0</v>
      </c>
      <c r="M222" s="12">
        <v>4.0</v>
      </c>
    </row>
    <row r="223" ht="16.5" customHeight="1">
      <c r="A223" s="10">
        <v>3452.0</v>
      </c>
      <c r="B223" s="10" t="s">
        <v>224</v>
      </c>
      <c r="C223" s="10" t="s">
        <v>25</v>
      </c>
      <c r="D223" s="11">
        <v>45569.0</v>
      </c>
      <c r="E223" s="10" t="s">
        <v>26</v>
      </c>
      <c r="F223" s="12">
        <v>15.0</v>
      </c>
      <c r="G223" s="10" t="s">
        <v>35</v>
      </c>
      <c r="H223" s="10" t="s">
        <v>26</v>
      </c>
      <c r="I223" s="12">
        <v>30.0</v>
      </c>
      <c r="J223" s="10" t="s">
        <v>26</v>
      </c>
      <c r="K223" s="12">
        <v>20.0</v>
      </c>
      <c r="L223" s="12">
        <v>7.0</v>
      </c>
      <c r="M223" s="12">
        <v>58.0</v>
      </c>
    </row>
    <row r="224" ht="16.5" hidden="1" customHeight="1">
      <c r="A224" s="10">
        <v>3453.0</v>
      </c>
      <c r="B224" s="10" t="s">
        <v>78</v>
      </c>
      <c r="C224" s="10" t="s">
        <v>34</v>
      </c>
      <c r="D224" s="11">
        <v>45570.0</v>
      </c>
      <c r="E224" s="10" t="s">
        <v>30</v>
      </c>
      <c r="F224" s="12">
        <v>10.0</v>
      </c>
      <c r="G224" s="10" t="s">
        <v>27</v>
      </c>
      <c r="H224" s="10" t="s">
        <v>30</v>
      </c>
      <c r="I224" s="12" t="s">
        <v>32</v>
      </c>
      <c r="J224" s="10" t="s">
        <v>26</v>
      </c>
      <c r="K224" s="12">
        <v>20.0</v>
      </c>
      <c r="L224" s="12">
        <v>10.0</v>
      </c>
      <c r="M224" s="12">
        <v>20.0</v>
      </c>
    </row>
    <row r="225" ht="16.5" hidden="1" customHeight="1">
      <c r="A225" s="10">
        <v>3454.0</v>
      </c>
      <c r="B225" s="10" t="s">
        <v>247</v>
      </c>
      <c r="C225" s="10" t="s">
        <v>29</v>
      </c>
      <c r="D225" s="11">
        <v>45571.0</v>
      </c>
      <c r="E225" s="10" t="s">
        <v>26</v>
      </c>
      <c r="F225" s="12">
        <v>5.0</v>
      </c>
      <c r="G225" s="10" t="s">
        <v>31</v>
      </c>
      <c r="H225" s="10" t="s">
        <v>30</v>
      </c>
      <c r="I225" s="12" t="s">
        <v>32</v>
      </c>
      <c r="J225" s="10" t="s">
        <v>30</v>
      </c>
      <c r="K225" s="12">
        <v>0.0</v>
      </c>
      <c r="L225" s="12">
        <v>0.0</v>
      </c>
      <c r="M225" s="12">
        <v>5.0</v>
      </c>
    </row>
    <row r="226" ht="16.5" customHeight="1">
      <c r="A226" s="10">
        <v>3455.0</v>
      </c>
      <c r="B226" s="10" t="s">
        <v>248</v>
      </c>
      <c r="C226" s="10" t="s">
        <v>25</v>
      </c>
      <c r="D226" s="11">
        <v>45572.0</v>
      </c>
      <c r="E226" s="10" t="s">
        <v>30</v>
      </c>
      <c r="F226" s="12">
        <v>15.0</v>
      </c>
      <c r="G226" s="10" t="s">
        <v>27</v>
      </c>
      <c r="H226" s="10" t="s">
        <v>26</v>
      </c>
      <c r="I226" s="12">
        <v>30.0</v>
      </c>
      <c r="J226" s="10" t="s">
        <v>26</v>
      </c>
      <c r="K226" s="12">
        <v>20.0</v>
      </c>
      <c r="L226" s="12">
        <v>20.0</v>
      </c>
      <c r="M226" s="12">
        <v>45.0</v>
      </c>
    </row>
    <row r="227" ht="16.5" hidden="1" customHeight="1">
      <c r="A227" s="10">
        <v>3456.0</v>
      </c>
      <c r="B227" s="10" t="s">
        <v>249</v>
      </c>
      <c r="C227" s="10" t="s">
        <v>34</v>
      </c>
      <c r="D227" s="11">
        <v>45573.0</v>
      </c>
      <c r="E227" s="10" t="s">
        <v>26</v>
      </c>
      <c r="F227" s="12">
        <v>10.0</v>
      </c>
      <c r="G227" s="10" t="s">
        <v>35</v>
      </c>
      <c r="H227" s="10" t="s">
        <v>30</v>
      </c>
      <c r="I227" s="12" t="s">
        <v>32</v>
      </c>
      <c r="J227" s="10" t="s">
        <v>26</v>
      </c>
      <c r="K227" s="12">
        <v>20.0</v>
      </c>
      <c r="L227" s="12">
        <v>15.0</v>
      </c>
      <c r="M227" s="12">
        <v>15.0</v>
      </c>
    </row>
    <row r="228" ht="16.5" hidden="1" customHeight="1">
      <c r="A228" s="10">
        <v>3457.0</v>
      </c>
      <c r="B228" s="10" t="s">
        <v>250</v>
      </c>
      <c r="C228" s="10" t="s">
        <v>29</v>
      </c>
      <c r="D228" s="11">
        <v>45574.0</v>
      </c>
      <c r="E228" s="10" t="s">
        <v>30</v>
      </c>
      <c r="F228" s="12">
        <v>5.0</v>
      </c>
      <c r="G228" s="10" t="s">
        <v>27</v>
      </c>
      <c r="H228" s="10" t="s">
        <v>30</v>
      </c>
      <c r="I228" s="12" t="s">
        <v>32</v>
      </c>
      <c r="J228" s="10" t="s">
        <v>30</v>
      </c>
      <c r="K228" s="12">
        <v>0.0</v>
      </c>
      <c r="L228" s="12">
        <v>1.0</v>
      </c>
      <c r="M228" s="12">
        <v>4.0</v>
      </c>
    </row>
    <row r="229" ht="16.5" customHeight="1">
      <c r="A229" s="10">
        <v>3458.0</v>
      </c>
      <c r="B229" s="10" t="s">
        <v>251</v>
      </c>
      <c r="C229" s="10" t="s">
        <v>25</v>
      </c>
      <c r="D229" s="11">
        <v>45575.0</v>
      </c>
      <c r="E229" s="10" t="s">
        <v>26</v>
      </c>
      <c r="F229" s="12">
        <v>15.0</v>
      </c>
      <c r="G229" s="10" t="s">
        <v>31</v>
      </c>
      <c r="H229" s="10" t="s">
        <v>26</v>
      </c>
      <c r="I229" s="12">
        <v>30.0</v>
      </c>
      <c r="J229" s="10" t="s">
        <v>26</v>
      </c>
      <c r="K229" s="12">
        <v>20.0</v>
      </c>
      <c r="L229" s="12">
        <v>3.0</v>
      </c>
      <c r="M229" s="12">
        <v>62.0</v>
      </c>
    </row>
    <row r="230" ht="16.5" hidden="1" customHeight="1">
      <c r="A230" s="10">
        <v>3459.0</v>
      </c>
      <c r="B230" s="10" t="s">
        <v>252</v>
      </c>
      <c r="C230" s="10" t="s">
        <v>34</v>
      </c>
      <c r="D230" s="11">
        <v>45576.0</v>
      </c>
      <c r="E230" s="10" t="s">
        <v>30</v>
      </c>
      <c r="F230" s="12">
        <v>10.0</v>
      </c>
      <c r="G230" s="10" t="s">
        <v>27</v>
      </c>
      <c r="H230" s="10" t="s">
        <v>30</v>
      </c>
      <c r="I230" s="12" t="s">
        <v>32</v>
      </c>
      <c r="J230" s="10" t="s">
        <v>26</v>
      </c>
      <c r="K230" s="12">
        <v>20.0</v>
      </c>
      <c r="L230" s="12">
        <v>10.0</v>
      </c>
      <c r="M230" s="12">
        <v>20.0</v>
      </c>
    </row>
    <row r="231" ht="16.5" hidden="1" customHeight="1">
      <c r="A231" s="10">
        <v>3460.0</v>
      </c>
      <c r="B231" s="10" t="s">
        <v>160</v>
      </c>
      <c r="C231" s="10" t="s">
        <v>29</v>
      </c>
      <c r="D231" s="11">
        <v>45577.0</v>
      </c>
      <c r="E231" s="10" t="s">
        <v>26</v>
      </c>
      <c r="F231" s="12">
        <v>5.0</v>
      </c>
      <c r="G231" s="10" t="s">
        <v>35</v>
      </c>
      <c r="H231" s="10" t="s">
        <v>30</v>
      </c>
      <c r="I231" s="12" t="s">
        <v>32</v>
      </c>
      <c r="J231" s="10" t="s">
        <v>30</v>
      </c>
      <c r="K231" s="12">
        <v>0.0</v>
      </c>
      <c r="L231" s="12">
        <v>0.0</v>
      </c>
      <c r="M231" s="12">
        <v>5.0</v>
      </c>
    </row>
    <row r="232" ht="16.5" customHeight="1">
      <c r="A232" s="10">
        <v>3461.0</v>
      </c>
      <c r="B232" s="10" t="s">
        <v>253</v>
      </c>
      <c r="C232" s="10" t="s">
        <v>25</v>
      </c>
      <c r="D232" s="11">
        <v>45578.0</v>
      </c>
      <c r="E232" s="10" t="s">
        <v>30</v>
      </c>
      <c r="F232" s="12">
        <v>15.0</v>
      </c>
      <c r="G232" s="10" t="s">
        <v>27</v>
      </c>
      <c r="H232" s="10" t="s">
        <v>26</v>
      </c>
      <c r="I232" s="12">
        <v>30.0</v>
      </c>
      <c r="J232" s="10" t="s">
        <v>26</v>
      </c>
      <c r="K232" s="12">
        <v>20.0</v>
      </c>
      <c r="L232" s="12">
        <v>15.0</v>
      </c>
      <c r="M232" s="12">
        <v>50.0</v>
      </c>
    </row>
    <row r="233" ht="16.5" hidden="1" customHeight="1">
      <c r="A233" s="10">
        <v>3462.0</v>
      </c>
      <c r="B233" s="10" t="s">
        <v>254</v>
      </c>
      <c r="C233" s="10" t="s">
        <v>34</v>
      </c>
      <c r="D233" s="11">
        <v>45579.0</v>
      </c>
      <c r="E233" s="10" t="s">
        <v>26</v>
      </c>
      <c r="F233" s="12">
        <v>10.0</v>
      </c>
      <c r="G233" s="10" t="s">
        <v>31</v>
      </c>
      <c r="H233" s="10" t="s">
        <v>30</v>
      </c>
      <c r="I233" s="12" t="s">
        <v>32</v>
      </c>
      <c r="J233" s="10" t="s">
        <v>26</v>
      </c>
      <c r="K233" s="12">
        <v>20.0</v>
      </c>
      <c r="L233" s="12">
        <v>15.0</v>
      </c>
      <c r="M233" s="12">
        <v>15.0</v>
      </c>
    </row>
    <row r="234" ht="16.5" hidden="1" customHeight="1">
      <c r="A234" s="10">
        <v>3463.0</v>
      </c>
      <c r="B234" s="10" t="s">
        <v>255</v>
      </c>
      <c r="C234" s="10" t="s">
        <v>29</v>
      </c>
      <c r="D234" s="11">
        <v>45580.0</v>
      </c>
      <c r="E234" s="10" t="s">
        <v>30</v>
      </c>
      <c r="F234" s="12">
        <v>5.0</v>
      </c>
      <c r="G234" s="10" t="s">
        <v>27</v>
      </c>
      <c r="H234" s="10" t="s">
        <v>30</v>
      </c>
      <c r="I234" s="12" t="s">
        <v>32</v>
      </c>
      <c r="J234" s="10" t="s">
        <v>30</v>
      </c>
      <c r="K234" s="12">
        <v>0.0</v>
      </c>
      <c r="L234" s="12">
        <v>1.0</v>
      </c>
      <c r="M234" s="12">
        <v>4.0</v>
      </c>
    </row>
    <row r="235" ht="16.5" customHeight="1">
      <c r="A235" s="10">
        <v>3464.0</v>
      </c>
      <c r="B235" s="10" t="s">
        <v>256</v>
      </c>
      <c r="C235" s="10" t="s">
        <v>25</v>
      </c>
      <c r="D235" s="11">
        <v>45581.0</v>
      </c>
      <c r="E235" s="10" t="s">
        <v>26</v>
      </c>
      <c r="F235" s="12">
        <v>15.0</v>
      </c>
      <c r="G235" s="10" t="s">
        <v>35</v>
      </c>
      <c r="H235" s="10" t="s">
        <v>26</v>
      </c>
      <c r="I235" s="12">
        <v>30.0</v>
      </c>
      <c r="J235" s="10" t="s">
        <v>26</v>
      </c>
      <c r="K235" s="12">
        <v>20.0</v>
      </c>
      <c r="L235" s="12">
        <v>7.0</v>
      </c>
      <c r="M235" s="12">
        <v>58.0</v>
      </c>
    </row>
    <row r="236" ht="16.5" hidden="1" customHeight="1">
      <c r="A236" s="10">
        <v>3465.0</v>
      </c>
      <c r="B236" s="10" t="s">
        <v>257</v>
      </c>
      <c r="C236" s="10" t="s">
        <v>34</v>
      </c>
      <c r="D236" s="11">
        <v>45582.0</v>
      </c>
      <c r="E236" s="10" t="s">
        <v>30</v>
      </c>
      <c r="F236" s="12">
        <v>10.0</v>
      </c>
      <c r="G236" s="10" t="s">
        <v>27</v>
      </c>
      <c r="H236" s="10" t="s">
        <v>30</v>
      </c>
      <c r="I236" s="12" t="s">
        <v>32</v>
      </c>
      <c r="J236" s="10" t="s">
        <v>26</v>
      </c>
      <c r="K236" s="12">
        <v>20.0</v>
      </c>
      <c r="L236" s="12">
        <v>10.0</v>
      </c>
      <c r="M236" s="12">
        <v>20.0</v>
      </c>
    </row>
    <row r="237" ht="16.5" hidden="1" customHeight="1">
      <c r="A237" s="10">
        <v>3466.0</v>
      </c>
      <c r="B237" s="10" t="s">
        <v>258</v>
      </c>
      <c r="C237" s="10" t="s">
        <v>29</v>
      </c>
      <c r="D237" s="11">
        <v>45583.0</v>
      </c>
      <c r="E237" s="10" t="s">
        <v>26</v>
      </c>
      <c r="F237" s="12">
        <v>5.0</v>
      </c>
      <c r="G237" s="10" t="s">
        <v>31</v>
      </c>
      <c r="H237" s="10" t="s">
        <v>30</v>
      </c>
      <c r="I237" s="12" t="s">
        <v>32</v>
      </c>
      <c r="J237" s="10" t="s">
        <v>30</v>
      </c>
      <c r="K237" s="12">
        <v>0.0</v>
      </c>
      <c r="L237" s="12">
        <v>0.0</v>
      </c>
      <c r="M237" s="12">
        <v>5.0</v>
      </c>
    </row>
    <row r="238" ht="16.5" customHeight="1">
      <c r="A238" s="10">
        <v>3467.0</v>
      </c>
      <c r="B238" s="10" t="s">
        <v>259</v>
      </c>
      <c r="C238" s="10" t="s">
        <v>25</v>
      </c>
      <c r="D238" s="11">
        <v>45584.0</v>
      </c>
      <c r="E238" s="10" t="s">
        <v>30</v>
      </c>
      <c r="F238" s="12">
        <v>15.0</v>
      </c>
      <c r="G238" s="10" t="s">
        <v>27</v>
      </c>
      <c r="H238" s="10" t="s">
        <v>26</v>
      </c>
      <c r="I238" s="12">
        <v>30.0</v>
      </c>
      <c r="J238" s="10" t="s">
        <v>26</v>
      </c>
      <c r="K238" s="12">
        <v>20.0</v>
      </c>
      <c r="L238" s="12">
        <v>15.0</v>
      </c>
      <c r="M238" s="12">
        <v>50.0</v>
      </c>
    </row>
    <row r="239" ht="16.5" hidden="1" customHeight="1">
      <c r="A239" s="10">
        <v>3468.0</v>
      </c>
      <c r="B239" s="10" t="s">
        <v>260</v>
      </c>
      <c r="C239" s="10" t="s">
        <v>34</v>
      </c>
      <c r="D239" s="11">
        <v>45585.0</v>
      </c>
      <c r="E239" s="10" t="s">
        <v>26</v>
      </c>
      <c r="F239" s="12">
        <v>10.0</v>
      </c>
      <c r="G239" s="10" t="s">
        <v>35</v>
      </c>
      <c r="H239" s="10" t="s">
        <v>30</v>
      </c>
      <c r="I239" s="12" t="s">
        <v>32</v>
      </c>
      <c r="J239" s="10" t="s">
        <v>26</v>
      </c>
      <c r="K239" s="12">
        <v>20.0</v>
      </c>
      <c r="L239" s="12">
        <v>12.0</v>
      </c>
      <c r="M239" s="12">
        <v>18.0</v>
      </c>
    </row>
    <row r="240" ht="16.5" hidden="1" customHeight="1">
      <c r="A240" s="10">
        <v>3469.0</v>
      </c>
      <c r="B240" s="10" t="s">
        <v>261</v>
      </c>
      <c r="C240" s="10" t="s">
        <v>29</v>
      </c>
      <c r="D240" s="11">
        <v>45586.0</v>
      </c>
      <c r="E240" s="10" t="s">
        <v>30</v>
      </c>
      <c r="F240" s="12">
        <v>5.0</v>
      </c>
      <c r="G240" s="10" t="s">
        <v>27</v>
      </c>
      <c r="H240" s="10" t="s">
        <v>30</v>
      </c>
      <c r="I240" s="12" t="s">
        <v>32</v>
      </c>
      <c r="J240" s="10" t="s">
        <v>30</v>
      </c>
      <c r="K240" s="12">
        <v>0.0</v>
      </c>
      <c r="L240" s="12">
        <v>2.0</v>
      </c>
      <c r="M240" s="12">
        <v>3.0</v>
      </c>
    </row>
    <row r="241" ht="16.5" customHeight="1">
      <c r="A241" s="10">
        <v>3470.0</v>
      </c>
      <c r="B241" s="10" t="s">
        <v>262</v>
      </c>
      <c r="C241" s="10" t="s">
        <v>25</v>
      </c>
      <c r="D241" s="11">
        <v>45587.0</v>
      </c>
      <c r="E241" s="10" t="s">
        <v>26</v>
      </c>
      <c r="F241" s="12">
        <v>15.0</v>
      </c>
      <c r="G241" s="10" t="s">
        <v>31</v>
      </c>
      <c r="H241" s="10" t="s">
        <v>26</v>
      </c>
      <c r="I241" s="12">
        <v>30.0</v>
      </c>
      <c r="J241" s="10" t="s">
        <v>26</v>
      </c>
      <c r="K241" s="12">
        <v>20.0</v>
      </c>
      <c r="L241" s="12">
        <v>5.0</v>
      </c>
      <c r="M241" s="12">
        <v>60.0</v>
      </c>
    </row>
    <row r="242" ht="16.5" hidden="1" customHeight="1">
      <c r="A242" s="10">
        <v>3471.0</v>
      </c>
      <c r="B242" s="10" t="s">
        <v>263</v>
      </c>
      <c r="C242" s="10" t="s">
        <v>34</v>
      </c>
      <c r="D242" s="11">
        <v>45588.0</v>
      </c>
      <c r="E242" s="10" t="s">
        <v>30</v>
      </c>
      <c r="F242" s="12">
        <v>10.0</v>
      </c>
      <c r="G242" s="10" t="s">
        <v>27</v>
      </c>
      <c r="H242" s="10" t="s">
        <v>30</v>
      </c>
      <c r="I242" s="12" t="s">
        <v>32</v>
      </c>
      <c r="J242" s="10" t="s">
        <v>26</v>
      </c>
      <c r="K242" s="12">
        <v>20.0</v>
      </c>
      <c r="L242" s="12">
        <v>10.0</v>
      </c>
      <c r="M242" s="12">
        <v>20.0</v>
      </c>
    </row>
    <row r="243" ht="16.5" hidden="1" customHeight="1">
      <c r="A243" s="10">
        <v>3472.0</v>
      </c>
      <c r="B243" s="10" t="s">
        <v>264</v>
      </c>
      <c r="C243" s="10" t="s">
        <v>29</v>
      </c>
      <c r="D243" s="11">
        <v>45589.0</v>
      </c>
      <c r="E243" s="10" t="s">
        <v>26</v>
      </c>
      <c r="F243" s="12">
        <v>5.0</v>
      </c>
      <c r="G243" s="10" t="s">
        <v>35</v>
      </c>
      <c r="H243" s="10" t="s">
        <v>30</v>
      </c>
      <c r="I243" s="12" t="s">
        <v>32</v>
      </c>
      <c r="J243" s="10" t="s">
        <v>30</v>
      </c>
      <c r="K243" s="12">
        <v>0.0</v>
      </c>
      <c r="L243" s="12">
        <v>0.0</v>
      </c>
      <c r="M243" s="12">
        <v>5.0</v>
      </c>
    </row>
    <row r="244" ht="16.5" customHeight="1">
      <c r="A244" s="10">
        <v>3473.0</v>
      </c>
      <c r="B244" s="10" t="s">
        <v>173</v>
      </c>
      <c r="C244" s="10" t="s">
        <v>25</v>
      </c>
      <c r="D244" s="11">
        <v>45590.0</v>
      </c>
      <c r="E244" s="10" t="s">
        <v>30</v>
      </c>
      <c r="F244" s="12">
        <v>15.0</v>
      </c>
      <c r="G244" s="10" t="s">
        <v>27</v>
      </c>
      <c r="H244" s="10" t="s">
        <v>26</v>
      </c>
      <c r="I244" s="12">
        <v>30.0</v>
      </c>
      <c r="J244" s="10" t="s">
        <v>26</v>
      </c>
      <c r="K244" s="12">
        <v>20.0</v>
      </c>
      <c r="L244" s="12">
        <v>3.0</v>
      </c>
      <c r="M244" s="12">
        <v>62.0</v>
      </c>
    </row>
    <row r="245" ht="16.5" hidden="1" customHeight="1">
      <c r="A245" s="10">
        <v>3474.0</v>
      </c>
      <c r="B245" s="10" t="s">
        <v>265</v>
      </c>
      <c r="C245" s="10" t="s">
        <v>34</v>
      </c>
      <c r="D245" s="11">
        <v>45591.0</v>
      </c>
      <c r="E245" s="10" t="s">
        <v>26</v>
      </c>
      <c r="F245" s="12">
        <v>10.0</v>
      </c>
      <c r="G245" s="10" t="s">
        <v>31</v>
      </c>
      <c r="H245" s="10" t="s">
        <v>30</v>
      </c>
      <c r="I245" s="12" t="s">
        <v>32</v>
      </c>
      <c r="J245" s="10" t="s">
        <v>26</v>
      </c>
      <c r="K245" s="12">
        <v>20.0</v>
      </c>
      <c r="L245" s="12">
        <v>15.0</v>
      </c>
      <c r="M245" s="12">
        <v>15.0</v>
      </c>
    </row>
    <row r="246" ht="16.5" hidden="1" customHeight="1">
      <c r="A246" s="10">
        <v>3475.0</v>
      </c>
      <c r="B246" s="10" t="s">
        <v>266</v>
      </c>
      <c r="C246" s="10" t="s">
        <v>29</v>
      </c>
      <c r="D246" s="11">
        <v>45592.0</v>
      </c>
      <c r="E246" s="10" t="s">
        <v>30</v>
      </c>
      <c r="F246" s="12">
        <v>5.0</v>
      </c>
      <c r="G246" s="10" t="s">
        <v>27</v>
      </c>
      <c r="H246" s="10" t="s">
        <v>30</v>
      </c>
      <c r="I246" s="12" t="s">
        <v>32</v>
      </c>
      <c r="J246" s="10" t="s">
        <v>30</v>
      </c>
      <c r="K246" s="12">
        <v>0.0</v>
      </c>
      <c r="L246" s="12">
        <v>1.0</v>
      </c>
      <c r="M246" s="12">
        <v>4.0</v>
      </c>
    </row>
    <row r="247" ht="16.5" customHeight="1">
      <c r="A247" s="10">
        <v>3476.0</v>
      </c>
      <c r="B247" s="10" t="s">
        <v>267</v>
      </c>
      <c r="C247" s="10" t="s">
        <v>25</v>
      </c>
      <c r="D247" s="11">
        <v>45593.0</v>
      </c>
      <c r="E247" s="10" t="s">
        <v>26</v>
      </c>
      <c r="F247" s="12">
        <v>15.0</v>
      </c>
      <c r="G247" s="10" t="s">
        <v>35</v>
      </c>
      <c r="H247" s="10" t="s">
        <v>26</v>
      </c>
      <c r="I247" s="12">
        <v>30.0</v>
      </c>
      <c r="J247" s="10" t="s">
        <v>26</v>
      </c>
      <c r="K247" s="12">
        <v>20.0</v>
      </c>
      <c r="L247" s="12">
        <v>7.0</v>
      </c>
      <c r="M247" s="12">
        <v>58.0</v>
      </c>
    </row>
    <row r="248" ht="16.5" hidden="1" customHeight="1">
      <c r="A248" s="10">
        <v>3477.0</v>
      </c>
      <c r="B248" s="10" t="s">
        <v>268</v>
      </c>
      <c r="C248" s="10" t="s">
        <v>34</v>
      </c>
      <c r="D248" s="11">
        <v>45594.0</v>
      </c>
      <c r="E248" s="10" t="s">
        <v>30</v>
      </c>
      <c r="F248" s="12">
        <v>10.0</v>
      </c>
      <c r="G248" s="10" t="s">
        <v>27</v>
      </c>
      <c r="H248" s="10" t="s">
        <v>30</v>
      </c>
      <c r="I248" s="12" t="s">
        <v>32</v>
      </c>
      <c r="J248" s="10" t="s">
        <v>26</v>
      </c>
      <c r="K248" s="12">
        <v>20.0</v>
      </c>
      <c r="L248" s="12">
        <v>10.0</v>
      </c>
      <c r="M248" s="12">
        <v>20.0</v>
      </c>
    </row>
    <row r="249" ht="16.5" hidden="1" customHeight="1">
      <c r="A249" s="10">
        <v>3478.0</v>
      </c>
      <c r="B249" s="10" t="s">
        <v>269</v>
      </c>
      <c r="C249" s="10" t="s">
        <v>29</v>
      </c>
      <c r="D249" s="11">
        <v>45595.0</v>
      </c>
      <c r="E249" s="10" t="s">
        <v>26</v>
      </c>
      <c r="F249" s="12">
        <v>5.0</v>
      </c>
      <c r="G249" s="10" t="s">
        <v>31</v>
      </c>
      <c r="H249" s="10" t="s">
        <v>30</v>
      </c>
      <c r="I249" s="12" t="s">
        <v>32</v>
      </c>
      <c r="J249" s="10" t="s">
        <v>30</v>
      </c>
      <c r="K249" s="12">
        <v>0.0</v>
      </c>
      <c r="L249" s="12">
        <v>0.0</v>
      </c>
      <c r="M249" s="12">
        <v>5.0</v>
      </c>
    </row>
    <row r="250" ht="16.5" customHeight="1">
      <c r="A250" s="10">
        <v>3479.0</v>
      </c>
      <c r="B250" s="10" t="s">
        <v>270</v>
      </c>
      <c r="C250" s="10" t="s">
        <v>25</v>
      </c>
      <c r="D250" s="11">
        <v>45596.0</v>
      </c>
      <c r="E250" s="10" t="s">
        <v>30</v>
      </c>
      <c r="F250" s="12">
        <v>15.0</v>
      </c>
      <c r="G250" s="10" t="s">
        <v>27</v>
      </c>
      <c r="H250" s="10" t="s">
        <v>26</v>
      </c>
      <c r="I250" s="12">
        <v>30.0</v>
      </c>
      <c r="J250" s="10" t="s">
        <v>26</v>
      </c>
      <c r="K250" s="12">
        <v>20.0</v>
      </c>
      <c r="L250" s="12">
        <v>20.0</v>
      </c>
      <c r="M250" s="12">
        <v>45.0</v>
      </c>
    </row>
    <row r="251" ht="16.5" hidden="1" customHeight="1">
      <c r="A251" s="10">
        <v>3480.0</v>
      </c>
      <c r="B251" s="10" t="s">
        <v>271</v>
      </c>
      <c r="C251" s="10" t="s">
        <v>34</v>
      </c>
      <c r="D251" s="11">
        <v>45597.0</v>
      </c>
      <c r="E251" s="10" t="s">
        <v>26</v>
      </c>
      <c r="F251" s="12">
        <v>10.0</v>
      </c>
      <c r="G251" s="10" t="s">
        <v>35</v>
      </c>
      <c r="H251" s="10" t="s">
        <v>30</v>
      </c>
      <c r="I251" s="12" t="s">
        <v>32</v>
      </c>
      <c r="J251" s="10" t="s">
        <v>26</v>
      </c>
      <c r="K251" s="12">
        <v>20.0</v>
      </c>
      <c r="L251" s="12">
        <v>15.0</v>
      </c>
      <c r="M251" s="12">
        <v>15.0</v>
      </c>
    </row>
    <row r="252" ht="16.5" hidden="1" customHeight="1">
      <c r="A252" s="10">
        <v>3481.0</v>
      </c>
      <c r="B252" s="10" t="s">
        <v>272</v>
      </c>
      <c r="C252" s="10" t="s">
        <v>29</v>
      </c>
      <c r="D252" s="11">
        <v>45598.0</v>
      </c>
      <c r="E252" s="10" t="s">
        <v>30</v>
      </c>
      <c r="F252" s="12">
        <v>5.0</v>
      </c>
      <c r="G252" s="10" t="s">
        <v>27</v>
      </c>
      <c r="H252" s="10" t="s">
        <v>30</v>
      </c>
      <c r="I252" s="12" t="s">
        <v>32</v>
      </c>
      <c r="J252" s="10" t="s">
        <v>30</v>
      </c>
      <c r="K252" s="12">
        <v>0.0</v>
      </c>
      <c r="L252" s="12">
        <v>1.0</v>
      </c>
      <c r="M252" s="12">
        <v>4.0</v>
      </c>
    </row>
    <row r="253" ht="16.5" customHeight="1">
      <c r="A253" s="10">
        <v>3482.0</v>
      </c>
      <c r="B253" s="10" t="s">
        <v>273</v>
      </c>
      <c r="C253" s="10" t="s">
        <v>25</v>
      </c>
      <c r="D253" s="11">
        <v>45599.0</v>
      </c>
      <c r="E253" s="10" t="s">
        <v>26</v>
      </c>
      <c r="F253" s="12">
        <v>15.0</v>
      </c>
      <c r="G253" s="10" t="s">
        <v>31</v>
      </c>
      <c r="H253" s="10" t="s">
        <v>26</v>
      </c>
      <c r="I253" s="12">
        <v>30.0</v>
      </c>
      <c r="J253" s="10" t="s">
        <v>26</v>
      </c>
      <c r="K253" s="12">
        <v>20.0</v>
      </c>
      <c r="L253" s="12">
        <v>3.0</v>
      </c>
      <c r="M253" s="12">
        <v>62.0</v>
      </c>
    </row>
    <row r="254" ht="16.5" hidden="1" customHeight="1">
      <c r="A254" s="10">
        <v>3483.0</v>
      </c>
      <c r="B254" s="10" t="s">
        <v>274</v>
      </c>
      <c r="C254" s="10" t="s">
        <v>34</v>
      </c>
      <c r="D254" s="11">
        <v>45600.0</v>
      </c>
      <c r="E254" s="10" t="s">
        <v>30</v>
      </c>
      <c r="F254" s="12">
        <v>10.0</v>
      </c>
      <c r="G254" s="10" t="s">
        <v>27</v>
      </c>
      <c r="H254" s="10" t="s">
        <v>30</v>
      </c>
      <c r="I254" s="12" t="s">
        <v>32</v>
      </c>
      <c r="J254" s="10" t="s">
        <v>26</v>
      </c>
      <c r="K254" s="12">
        <v>20.0</v>
      </c>
      <c r="L254" s="12">
        <v>10.0</v>
      </c>
      <c r="M254" s="12">
        <v>20.0</v>
      </c>
    </row>
    <row r="255" ht="16.5" hidden="1" customHeight="1">
      <c r="A255" s="10">
        <v>3484.0</v>
      </c>
      <c r="B255" s="10" t="s">
        <v>275</v>
      </c>
      <c r="C255" s="10" t="s">
        <v>29</v>
      </c>
      <c r="D255" s="11">
        <v>45601.0</v>
      </c>
      <c r="E255" s="10" t="s">
        <v>26</v>
      </c>
      <c r="F255" s="12">
        <v>5.0</v>
      </c>
      <c r="G255" s="10" t="s">
        <v>35</v>
      </c>
      <c r="H255" s="10" t="s">
        <v>30</v>
      </c>
      <c r="I255" s="12" t="s">
        <v>32</v>
      </c>
      <c r="J255" s="10" t="s">
        <v>30</v>
      </c>
      <c r="K255" s="12">
        <v>0.0</v>
      </c>
      <c r="L255" s="12">
        <v>0.0</v>
      </c>
      <c r="M255" s="12">
        <v>5.0</v>
      </c>
    </row>
    <row r="256" ht="16.5" customHeight="1">
      <c r="A256" s="10">
        <v>3485.0</v>
      </c>
      <c r="B256" s="10" t="s">
        <v>276</v>
      </c>
      <c r="C256" s="10" t="s">
        <v>25</v>
      </c>
      <c r="D256" s="11">
        <v>45602.0</v>
      </c>
      <c r="E256" s="10" t="s">
        <v>30</v>
      </c>
      <c r="F256" s="12">
        <v>15.0</v>
      </c>
      <c r="G256" s="10" t="s">
        <v>27</v>
      </c>
      <c r="H256" s="10" t="s">
        <v>26</v>
      </c>
      <c r="I256" s="12">
        <v>30.0</v>
      </c>
      <c r="J256" s="10" t="s">
        <v>26</v>
      </c>
      <c r="K256" s="12">
        <v>20.0</v>
      </c>
      <c r="L256" s="12">
        <v>15.0</v>
      </c>
      <c r="M256" s="12">
        <v>50.0</v>
      </c>
    </row>
    <row r="257" ht="16.5" hidden="1" customHeight="1">
      <c r="A257" s="10">
        <v>3486.0</v>
      </c>
      <c r="B257" s="10" t="s">
        <v>277</v>
      </c>
      <c r="C257" s="10" t="s">
        <v>29</v>
      </c>
      <c r="D257" s="11">
        <v>45603.0</v>
      </c>
      <c r="E257" s="10" t="s">
        <v>26</v>
      </c>
      <c r="F257" s="12">
        <v>5.0</v>
      </c>
      <c r="G257" s="10" t="s">
        <v>27</v>
      </c>
      <c r="H257" s="10" t="s">
        <v>30</v>
      </c>
      <c r="I257" s="12" t="s">
        <v>32</v>
      </c>
      <c r="J257" s="10" t="s">
        <v>30</v>
      </c>
      <c r="K257" s="12">
        <v>0.0</v>
      </c>
      <c r="L257" s="12">
        <v>0.0</v>
      </c>
      <c r="M257" s="12">
        <v>5.0</v>
      </c>
    </row>
    <row r="258" ht="16.5" customHeight="1">
      <c r="A258" s="10">
        <v>3487.0</v>
      </c>
      <c r="B258" s="10" t="s">
        <v>278</v>
      </c>
      <c r="C258" s="10" t="s">
        <v>25</v>
      </c>
      <c r="D258" s="11">
        <v>45604.0</v>
      </c>
      <c r="E258" s="10" t="s">
        <v>30</v>
      </c>
      <c r="F258" s="12">
        <v>15.0</v>
      </c>
      <c r="G258" s="10" t="s">
        <v>35</v>
      </c>
      <c r="H258" s="10" t="s">
        <v>26</v>
      </c>
      <c r="I258" s="12">
        <v>30.0</v>
      </c>
      <c r="J258" s="10" t="s">
        <v>26</v>
      </c>
      <c r="K258" s="12">
        <v>20.0</v>
      </c>
      <c r="L258" s="12">
        <v>7.0</v>
      </c>
      <c r="M258" s="12">
        <v>58.0</v>
      </c>
    </row>
    <row r="259" ht="16.5" hidden="1" customHeight="1">
      <c r="A259" s="10">
        <v>3488.0</v>
      </c>
      <c r="B259" s="10" t="s">
        <v>279</v>
      </c>
      <c r="C259" s="10" t="s">
        <v>34</v>
      </c>
      <c r="D259" s="11">
        <v>45605.0</v>
      </c>
      <c r="E259" s="10" t="s">
        <v>26</v>
      </c>
      <c r="F259" s="12">
        <v>10.0</v>
      </c>
      <c r="G259" s="10" t="s">
        <v>31</v>
      </c>
      <c r="H259" s="10" t="s">
        <v>30</v>
      </c>
      <c r="I259" s="12" t="s">
        <v>32</v>
      </c>
      <c r="J259" s="10" t="s">
        <v>26</v>
      </c>
      <c r="K259" s="12">
        <v>20.0</v>
      </c>
      <c r="L259" s="12">
        <v>10.0</v>
      </c>
      <c r="M259" s="12">
        <v>20.0</v>
      </c>
    </row>
    <row r="260" ht="16.5" hidden="1" customHeight="1">
      <c r="A260" s="10">
        <v>3489.0</v>
      </c>
      <c r="B260" s="10" t="s">
        <v>280</v>
      </c>
      <c r="C260" s="10" t="s">
        <v>29</v>
      </c>
      <c r="D260" s="11">
        <v>45606.0</v>
      </c>
      <c r="E260" s="10" t="s">
        <v>30</v>
      </c>
      <c r="F260" s="12">
        <v>5.0</v>
      </c>
      <c r="G260" s="10" t="s">
        <v>35</v>
      </c>
      <c r="H260" s="10" t="s">
        <v>30</v>
      </c>
      <c r="I260" s="12" t="s">
        <v>32</v>
      </c>
      <c r="J260" s="10" t="s">
        <v>30</v>
      </c>
      <c r="K260" s="12">
        <v>0.0</v>
      </c>
      <c r="L260" s="12">
        <v>1.0</v>
      </c>
      <c r="M260" s="12">
        <v>4.0</v>
      </c>
    </row>
    <row r="261" ht="16.5" customHeight="1">
      <c r="A261" s="10">
        <v>3490.0</v>
      </c>
      <c r="B261" s="10" t="s">
        <v>281</v>
      </c>
      <c r="C261" s="10" t="s">
        <v>25</v>
      </c>
      <c r="D261" s="11">
        <v>45607.0</v>
      </c>
      <c r="E261" s="10" t="s">
        <v>26</v>
      </c>
      <c r="F261" s="12">
        <v>15.0</v>
      </c>
      <c r="G261" s="10" t="s">
        <v>27</v>
      </c>
      <c r="H261" s="10" t="s">
        <v>26</v>
      </c>
      <c r="I261" s="12">
        <v>30.0</v>
      </c>
      <c r="J261" s="10" t="s">
        <v>26</v>
      </c>
      <c r="K261" s="12">
        <v>20.0</v>
      </c>
      <c r="L261" s="12">
        <v>15.0</v>
      </c>
      <c r="M261" s="12">
        <v>50.0</v>
      </c>
    </row>
    <row r="262" ht="16.5" hidden="1" customHeight="1">
      <c r="A262" s="10">
        <v>3491.0</v>
      </c>
      <c r="B262" s="10" t="s">
        <v>282</v>
      </c>
      <c r="C262" s="10" t="s">
        <v>34</v>
      </c>
      <c r="D262" s="11">
        <v>45608.0</v>
      </c>
      <c r="E262" s="10" t="s">
        <v>30</v>
      </c>
      <c r="F262" s="12">
        <v>10.0</v>
      </c>
      <c r="G262" s="10" t="s">
        <v>27</v>
      </c>
      <c r="H262" s="10" t="s">
        <v>30</v>
      </c>
      <c r="I262" s="12" t="s">
        <v>32</v>
      </c>
      <c r="J262" s="10" t="s">
        <v>26</v>
      </c>
      <c r="K262" s="12">
        <v>20.0</v>
      </c>
      <c r="L262" s="12">
        <v>5.0</v>
      </c>
      <c r="M262" s="12">
        <v>25.0</v>
      </c>
    </row>
    <row r="263" ht="16.5" hidden="1" customHeight="1">
      <c r="A263" s="10">
        <v>3492.0</v>
      </c>
      <c r="B263" s="10" t="s">
        <v>283</v>
      </c>
      <c r="C263" s="10" t="s">
        <v>29</v>
      </c>
      <c r="D263" s="11">
        <v>45609.0</v>
      </c>
      <c r="E263" s="10" t="s">
        <v>26</v>
      </c>
      <c r="F263" s="12">
        <v>5.0</v>
      </c>
      <c r="G263" s="10" t="s">
        <v>31</v>
      </c>
      <c r="H263" s="10" t="s">
        <v>30</v>
      </c>
      <c r="I263" s="12" t="s">
        <v>32</v>
      </c>
      <c r="J263" s="10" t="s">
        <v>30</v>
      </c>
      <c r="K263" s="12">
        <v>0.0</v>
      </c>
      <c r="L263" s="12">
        <v>0.0</v>
      </c>
      <c r="M263" s="12">
        <v>5.0</v>
      </c>
    </row>
    <row r="264" ht="16.5" customHeight="1">
      <c r="A264" s="10">
        <v>3493.0</v>
      </c>
      <c r="B264" s="10" t="s">
        <v>284</v>
      </c>
      <c r="C264" s="10" t="s">
        <v>25</v>
      </c>
      <c r="D264" s="11">
        <v>45610.0</v>
      </c>
      <c r="E264" s="10" t="s">
        <v>30</v>
      </c>
      <c r="F264" s="12">
        <v>15.0</v>
      </c>
      <c r="G264" s="10" t="s">
        <v>35</v>
      </c>
      <c r="H264" s="10" t="s">
        <v>26</v>
      </c>
      <c r="I264" s="12">
        <v>30.0</v>
      </c>
      <c r="J264" s="10" t="s">
        <v>26</v>
      </c>
      <c r="K264" s="12">
        <v>20.0</v>
      </c>
      <c r="L264" s="12">
        <v>20.0</v>
      </c>
      <c r="M264" s="12">
        <v>45.0</v>
      </c>
    </row>
    <row r="265" ht="16.5" hidden="1" customHeight="1">
      <c r="A265" s="10">
        <v>3494.0</v>
      </c>
      <c r="B265" s="10" t="s">
        <v>285</v>
      </c>
      <c r="C265" s="10" t="s">
        <v>34</v>
      </c>
      <c r="D265" s="11">
        <v>45611.0</v>
      </c>
      <c r="E265" s="10" t="s">
        <v>26</v>
      </c>
      <c r="F265" s="12">
        <v>10.0</v>
      </c>
      <c r="G265" s="10" t="s">
        <v>35</v>
      </c>
      <c r="H265" s="10" t="s">
        <v>30</v>
      </c>
      <c r="I265" s="12" t="s">
        <v>32</v>
      </c>
      <c r="J265" s="10" t="s">
        <v>26</v>
      </c>
      <c r="K265" s="12">
        <v>20.0</v>
      </c>
      <c r="L265" s="12">
        <v>12.0</v>
      </c>
      <c r="M265" s="12">
        <v>18.0</v>
      </c>
    </row>
    <row r="266" ht="16.5" hidden="1" customHeight="1">
      <c r="A266" s="10">
        <v>3495.0</v>
      </c>
      <c r="B266" s="10" t="s">
        <v>286</v>
      </c>
      <c r="C266" s="10" t="s">
        <v>29</v>
      </c>
      <c r="D266" s="11">
        <v>45612.0</v>
      </c>
      <c r="E266" s="10" t="s">
        <v>30</v>
      </c>
      <c r="F266" s="12">
        <v>5.0</v>
      </c>
      <c r="G266" s="10" t="s">
        <v>27</v>
      </c>
      <c r="H266" s="10" t="s">
        <v>30</v>
      </c>
      <c r="I266" s="12" t="s">
        <v>32</v>
      </c>
      <c r="J266" s="10" t="s">
        <v>30</v>
      </c>
      <c r="K266" s="12">
        <v>0.0</v>
      </c>
      <c r="L266" s="12">
        <v>2.0</v>
      </c>
      <c r="M266" s="12">
        <v>3.0</v>
      </c>
    </row>
    <row r="267" ht="16.5" customHeight="1">
      <c r="A267" s="10">
        <v>3496.0</v>
      </c>
      <c r="B267" s="10" t="s">
        <v>287</v>
      </c>
      <c r="C267" s="10" t="s">
        <v>25</v>
      </c>
      <c r="D267" s="11">
        <v>45613.0</v>
      </c>
      <c r="E267" s="10" t="s">
        <v>26</v>
      </c>
      <c r="F267" s="12">
        <v>15.0</v>
      </c>
      <c r="G267" s="10" t="s">
        <v>31</v>
      </c>
      <c r="H267" s="10" t="s">
        <v>26</v>
      </c>
      <c r="I267" s="12">
        <v>30.0</v>
      </c>
      <c r="J267" s="10" t="s">
        <v>26</v>
      </c>
      <c r="K267" s="12">
        <v>20.0</v>
      </c>
      <c r="L267" s="12">
        <v>5.0</v>
      </c>
      <c r="M267" s="12">
        <v>60.0</v>
      </c>
    </row>
    <row r="268" ht="16.5" hidden="1" customHeight="1">
      <c r="A268" s="10">
        <v>3497.0</v>
      </c>
      <c r="B268" s="10" t="s">
        <v>288</v>
      </c>
      <c r="C268" s="10" t="s">
        <v>34</v>
      </c>
      <c r="D268" s="11">
        <v>45614.0</v>
      </c>
      <c r="E268" s="10" t="s">
        <v>30</v>
      </c>
      <c r="F268" s="12">
        <v>10.0</v>
      </c>
      <c r="G268" s="10" t="s">
        <v>27</v>
      </c>
      <c r="H268" s="10" t="s">
        <v>30</v>
      </c>
      <c r="I268" s="12" t="s">
        <v>32</v>
      </c>
      <c r="J268" s="10" t="s">
        <v>26</v>
      </c>
      <c r="K268" s="12">
        <v>20.0</v>
      </c>
      <c r="L268" s="12">
        <v>10.0</v>
      </c>
      <c r="M268" s="12">
        <v>20.0</v>
      </c>
    </row>
    <row r="269" ht="16.5" hidden="1" customHeight="1">
      <c r="A269" s="10">
        <v>3498.0</v>
      </c>
      <c r="B269" s="10" t="s">
        <v>289</v>
      </c>
      <c r="C269" s="10" t="s">
        <v>29</v>
      </c>
      <c r="D269" s="11">
        <v>45615.0</v>
      </c>
      <c r="E269" s="10" t="s">
        <v>26</v>
      </c>
      <c r="F269" s="12">
        <v>5.0</v>
      </c>
      <c r="G269" s="10" t="s">
        <v>35</v>
      </c>
      <c r="H269" s="10" t="s">
        <v>30</v>
      </c>
      <c r="I269" s="12" t="s">
        <v>32</v>
      </c>
      <c r="J269" s="10" t="s">
        <v>30</v>
      </c>
      <c r="K269" s="12">
        <v>0.0</v>
      </c>
      <c r="L269" s="12">
        <v>0.0</v>
      </c>
      <c r="M269" s="12">
        <v>5.0</v>
      </c>
    </row>
    <row r="270" ht="16.5" customHeight="1">
      <c r="A270" s="10">
        <v>3499.0</v>
      </c>
      <c r="B270" s="10" t="s">
        <v>290</v>
      </c>
      <c r="C270" s="10" t="s">
        <v>25</v>
      </c>
      <c r="D270" s="11">
        <v>45616.0</v>
      </c>
      <c r="E270" s="10" t="s">
        <v>30</v>
      </c>
      <c r="F270" s="12">
        <v>15.0</v>
      </c>
      <c r="G270" s="10" t="s">
        <v>27</v>
      </c>
      <c r="H270" s="10" t="s">
        <v>26</v>
      </c>
      <c r="I270" s="12">
        <v>30.0</v>
      </c>
      <c r="J270" s="10" t="s">
        <v>26</v>
      </c>
      <c r="K270" s="12">
        <v>20.0</v>
      </c>
      <c r="L270" s="12">
        <v>3.0</v>
      </c>
      <c r="M270" s="12">
        <v>62.0</v>
      </c>
    </row>
    <row r="271" ht="16.5" hidden="1" customHeight="1">
      <c r="A271" s="10">
        <v>3500.0</v>
      </c>
      <c r="B271" s="10" t="s">
        <v>291</v>
      </c>
      <c r="C271" s="10" t="s">
        <v>34</v>
      </c>
      <c r="D271" s="11">
        <v>45617.0</v>
      </c>
      <c r="E271" s="10" t="s">
        <v>26</v>
      </c>
      <c r="F271" s="12">
        <v>10.0</v>
      </c>
      <c r="G271" s="10" t="s">
        <v>31</v>
      </c>
      <c r="H271" s="10" t="s">
        <v>30</v>
      </c>
      <c r="I271" s="12" t="s">
        <v>32</v>
      </c>
      <c r="J271" s="10" t="s">
        <v>26</v>
      </c>
      <c r="K271" s="12">
        <v>20.0</v>
      </c>
      <c r="L271" s="12">
        <v>15.0</v>
      </c>
      <c r="M271" s="12">
        <v>15.0</v>
      </c>
    </row>
    <row r="272" ht="16.5" hidden="1" customHeight="1">
      <c r="A272" s="10">
        <v>3501.0</v>
      </c>
      <c r="B272" s="10" t="s">
        <v>292</v>
      </c>
      <c r="C272" s="10" t="s">
        <v>29</v>
      </c>
      <c r="D272" s="11">
        <v>45618.0</v>
      </c>
      <c r="E272" s="10" t="s">
        <v>30</v>
      </c>
      <c r="F272" s="12">
        <v>5.0</v>
      </c>
      <c r="G272" s="10" t="s">
        <v>27</v>
      </c>
      <c r="H272" s="10" t="s">
        <v>30</v>
      </c>
      <c r="I272" s="12" t="s">
        <v>32</v>
      </c>
      <c r="J272" s="10" t="s">
        <v>30</v>
      </c>
      <c r="K272" s="12">
        <v>0.0</v>
      </c>
      <c r="L272" s="12">
        <v>1.0</v>
      </c>
      <c r="M272" s="12">
        <v>4.0</v>
      </c>
    </row>
    <row r="273" ht="16.5" customHeight="1">
      <c r="A273" s="10">
        <v>3502.0</v>
      </c>
      <c r="B273" s="10" t="s">
        <v>293</v>
      </c>
      <c r="C273" s="10" t="s">
        <v>25</v>
      </c>
      <c r="D273" s="11">
        <v>45619.0</v>
      </c>
      <c r="E273" s="10" t="s">
        <v>26</v>
      </c>
      <c r="F273" s="12">
        <v>15.0</v>
      </c>
      <c r="G273" s="10" t="s">
        <v>35</v>
      </c>
      <c r="H273" s="10" t="s">
        <v>26</v>
      </c>
      <c r="I273" s="12">
        <v>30.0</v>
      </c>
      <c r="J273" s="10" t="s">
        <v>26</v>
      </c>
      <c r="K273" s="12">
        <v>20.0</v>
      </c>
      <c r="L273" s="12">
        <v>7.0</v>
      </c>
      <c r="M273" s="12">
        <v>58.0</v>
      </c>
    </row>
    <row r="274" ht="16.5" hidden="1" customHeight="1">
      <c r="A274" s="10">
        <v>3503.0</v>
      </c>
      <c r="B274" s="10" t="s">
        <v>152</v>
      </c>
      <c r="C274" s="10" t="s">
        <v>34</v>
      </c>
      <c r="D274" s="11">
        <v>45620.0</v>
      </c>
      <c r="E274" s="10" t="s">
        <v>30</v>
      </c>
      <c r="F274" s="12">
        <v>10.0</v>
      </c>
      <c r="G274" s="10" t="s">
        <v>27</v>
      </c>
      <c r="H274" s="10" t="s">
        <v>30</v>
      </c>
      <c r="I274" s="12" t="s">
        <v>32</v>
      </c>
      <c r="J274" s="10" t="s">
        <v>26</v>
      </c>
      <c r="K274" s="12">
        <v>20.0</v>
      </c>
      <c r="L274" s="12">
        <v>10.0</v>
      </c>
      <c r="M274" s="12">
        <v>20.0</v>
      </c>
    </row>
    <row r="275" ht="16.5" hidden="1" customHeight="1">
      <c r="A275" s="10">
        <v>3504.0</v>
      </c>
      <c r="B275" s="10" t="s">
        <v>294</v>
      </c>
      <c r="C275" s="10" t="s">
        <v>29</v>
      </c>
      <c r="D275" s="11">
        <v>45621.0</v>
      </c>
      <c r="E275" s="10" t="s">
        <v>26</v>
      </c>
      <c r="F275" s="12">
        <v>5.0</v>
      </c>
      <c r="G275" s="10" t="s">
        <v>31</v>
      </c>
      <c r="H275" s="10" t="s">
        <v>30</v>
      </c>
      <c r="I275" s="12" t="s">
        <v>32</v>
      </c>
      <c r="J275" s="10" t="s">
        <v>30</v>
      </c>
      <c r="K275" s="12">
        <v>0.0</v>
      </c>
      <c r="L275" s="12">
        <v>0.0</v>
      </c>
      <c r="M275" s="12">
        <v>5.0</v>
      </c>
    </row>
    <row r="276" ht="16.5" customHeight="1">
      <c r="A276" s="10">
        <v>3505.0</v>
      </c>
      <c r="B276" s="10" t="s">
        <v>295</v>
      </c>
      <c r="C276" s="10" t="s">
        <v>25</v>
      </c>
      <c r="D276" s="11">
        <v>45622.0</v>
      </c>
      <c r="E276" s="10" t="s">
        <v>30</v>
      </c>
      <c r="F276" s="12">
        <v>15.0</v>
      </c>
      <c r="G276" s="10" t="s">
        <v>27</v>
      </c>
      <c r="H276" s="10" t="s">
        <v>26</v>
      </c>
      <c r="I276" s="12">
        <v>30.0</v>
      </c>
      <c r="J276" s="10" t="s">
        <v>26</v>
      </c>
      <c r="K276" s="12">
        <v>20.0</v>
      </c>
      <c r="L276" s="12">
        <v>20.0</v>
      </c>
      <c r="M276" s="12">
        <v>45.0</v>
      </c>
    </row>
    <row r="277" ht="16.5" hidden="1" customHeight="1">
      <c r="A277" s="10">
        <v>3506.0</v>
      </c>
      <c r="B277" s="10" t="s">
        <v>296</v>
      </c>
      <c r="C277" s="10" t="s">
        <v>34</v>
      </c>
      <c r="D277" s="11">
        <v>45623.0</v>
      </c>
      <c r="E277" s="10" t="s">
        <v>26</v>
      </c>
      <c r="F277" s="12">
        <v>10.0</v>
      </c>
      <c r="G277" s="10" t="s">
        <v>35</v>
      </c>
      <c r="H277" s="10" t="s">
        <v>30</v>
      </c>
      <c r="I277" s="12" t="s">
        <v>32</v>
      </c>
      <c r="J277" s="10" t="s">
        <v>26</v>
      </c>
      <c r="K277" s="12">
        <v>20.0</v>
      </c>
      <c r="L277" s="12">
        <v>15.0</v>
      </c>
      <c r="M277" s="12">
        <v>15.0</v>
      </c>
    </row>
    <row r="278" ht="16.5" hidden="1" customHeight="1">
      <c r="A278" s="10">
        <v>3507.0</v>
      </c>
      <c r="B278" s="10" t="s">
        <v>297</v>
      </c>
      <c r="C278" s="10" t="s">
        <v>29</v>
      </c>
      <c r="D278" s="11">
        <v>45624.0</v>
      </c>
      <c r="E278" s="10" t="s">
        <v>30</v>
      </c>
      <c r="F278" s="12">
        <v>5.0</v>
      </c>
      <c r="G278" s="10" t="s">
        <v>27</v>
      </c>
      <c r="H278" s="10" t="s">
        <v>30</v>
      </c>
      <c r="I278" s="12" t="s">
        <v>32</v>
      </c>
      <c r="J278" s="10" t="s">
        <v>30</v>
      </c>
      <c r="K278" s="12">
        <v>0.0</v>
      </c>
      <c r="L278" s="12">
        <v>1.0</v>
      </c>
      <c r="M278" s="12">
        <v>4.0</v>
      </c>
    </row>
    <row r="279" ht="16.5" customHeight="1">
      <c r="A279" s="10">
        <v>3508.0</v>
      </c>
      <c r="B279" s="10" t="s">
        <v>298</v>
      </c>
      <c r="C279" s="10" t="s">
        <v>25</v>
      </c>
      <c r="D279" s="11">
        <v>45625.0</v>
      </c>
      <c r="E279" s="10" t="s">
        <v>26</v>
      </c>
      <c r="F279" s="12">
        <v>15.0</v>
      </c>
      <c r="G279" s="10" t="s">
        <v>31</v>
      </c>
      <c r="H279" s="10" t="s">
        <v>26</v>
      </c>
      <c r="I279" s="12">
        <v>30.0</v>
      </c>
      <c r="J279" s="10" t="s">
        <v>26</v>
      </c>
      <c r="K279" s="12">
        <v>20.0</v>
      </c>
      <c r="L279" s="12">
        <v>3.0</v>
      </c>
      <c r="M279" s="12">
        <v>62.0</v>
      </c>
    </row>
    <row r="280" ht="16.5" hidden="1" customHeight="1">
      <c r="A280" s="10">
        <v>3509.0</v>
      </c>
      <c r="B280" s="10" t="s">
        <v>299</v>
      </c>
      <c r="C280" s="10" t="s">
        <v>34</v>
      </c>
      <c r="D280" s="11">
        <v>45626.0</v>
      </c>
      <c r="E280" s="10" t="s">
        <v>30</v>
      </c>
      <c r="F280" s="12">
        <v>10.0</v>
      </c>
      <c r="G280" s="10" t="s">
        <v>27</v>
      </c>
      <c r="H280" s="10" t="s">
        <v>30</v>
      </c>
      <c r="I280" s="12" t="s">
        <v>32</v>
      </c>
      <c r="J280" s="10" t="s">
        <v>26</v>
      </c>
      <c r="K280" s="12">
        <v>20.0</v>
      </c>
      <c r="L280" s="12">
        <v>10.0</v>
      </c>
      <c r="M280" s="12">
        <v>20.0</v>
      </c>
    </row>
    <row r="281" ht="16.5" hidden="1" customHeight="1">
      <c r="A281" s="10">
        <v>3510.0</v>
      </c>
      <c r="B281" s="10" t="s">
        <v>300</v>
      </c>
      <c r="C281" s="10" t="s">
        <v>29</v>
      </c>
      <c r="D281" s="11">
        <v>45627.0</v>
      </c>
      <c r="E281" s="10" t="s">
        <v>26</v>
      </c>
      <c r="F281" s="12">
        <v>5.0</v>
      </c>
      <c r="G281" s="10" t="s">
        <v>35</v>
      </c>
      <c r="H281" s="10" t="s">
        <v>30</v>
      </c>
      <c r="I281" s="12" t="s">
        <v>32</v>
      </c>
      <c r="J281" s="10" t="s">
        <v>30</v>
      </c>
      <c r="K281" s="12">
        <v>0.0</v>
      </c>
      <c r="L281" s="12">
        <v>0.0</v>
      </c>
      <c r="M281" s="12">
        <v>5.0</v>
      </c>
    </row>
    <row r="282" ht="16.5" customHeight="1">
      <c r="A282" s="10">
        <v>3511.0</v>
      </c>
      <c r="B282" s="10" t="s">
        <v>301</v>
      </c>
      <c r="C282" s="10" t="s">
        <v>25</v>
      </c>
      <c r="D282" s="11">
        <v>45628.0</v>
      </c>
      <c r="E282" s="10" t="s">
        <v>30</v>
      </c>
      <c r="F282" s="12">
        <v>15.0</v>
      </c>
      <c r="G282" s="10" t="s">
        <v>27</v>
      </c>
      <c r="H282" s="10" t="s">
        <v>26</v>
      </c>
      <c r="I282" s="12">
        <v>30.0</v>
      </c>
      <c r="J282" s="10" t="s">
        <v>26</v>
      </c>
      <c r="K282" s="12">
        <v>20.0</v>
      </c>
      <c r="L282" s="12">
        <v>15.0</v>
      </c>
      <c r="M282" s="12">
        <v>50.0</v>
      </c>
    </row>
    <row r="283" ht="16.5" hidden="1" customHeight="1">
      <c r="A283" s="10">
        <v>3512.0</v>
      </c>
      <c r="B283" s="10" t="s">
        <v>302</v>
      </c>
      <c r="C283" s="10" t="s">
        <v>34</v>
      </c>
      <c r="D283" s="11">
        <v>45629.0</v>
      </c>
      <c r="E283" s="10" t="s">
        <v>26</v>
      </c>
      <c r="F283" s="12">
        <v>10.0</v>
      </c>
      <c r="G283" s="10" t="s">
        <v>31</v>
      </c>
      <c r="H283" s="10" t="s">
        <v>30</v>
      </c>
      <c r="I283" s="12" t="s">
        <v>32</v>
      </c>
      <c r="J283" s="10" t="s">
        <v>26</v>
      </c>
      <c r="K283" s="12">
        <v>20.0</v>
      </c>
      <c r="L283" s="12">
        <v>15.0</v>
      </c>
      <c r="M283" s="12">
        <v>15.0</v>
      </c>
    </row>
    <row r="284" ht="16.5" hidden="1" customHeight="1">
      <c r="A284" s="10">
        <v>3513.0</v>
      </c>
      <c r="B284" s="10" t="s">
        <v>303</v>
      </c>
      <c r="C284" s="10" t="s">
        <v>29</v>
      </c>
      <c r="D284" s="11">
        <v>45630.0</v>
      </c>
      <c r="E284" s="10" t="s">
        <v>30</v>
      </c>
      <c r="F284" s="12">
        <v>5.0</v>
      </c>
      <c r="G284" s="10" t="s">
        <v>27</v>
      </c>
      <c r="H284" s="10" t="s">
        <v>30</v>
      </c>
      <c r="I284" s="12" t="s">
        <v>32</v>
      </c>
      <c r="J284" s="10" t="s">
        <v>30</v>
      </c>
      <c r="K284" s="12">
        <v>0.0</v>
      </c>
      <c r="L284" s="12">
        <v>1.0</v>
      </c>
      <c r="M284" s="12">
        <v>4.0</v>
      </c>
    </row>
    <row r="285" ht="16.5" customHeight="1">
      <c r="A285" s="10">
        <v>3514.0</v>
      </c>
      <c r="B285" s="10" t="s">
        <v>304</v>
      </c>
      <c r="C285" s="10" t="s">
        <v>25</v>
      </c>
      <c r="D285" s="11">
        <v>45631.0</v>
      </c>
      <c r="E285" s="10" t="s">
        <v>26</v>
      </c>
      <c r="F285" s="12">
        <v>15.0</v>
      </c>
      <c r="G285" s="10" t="s">
        <v>35</v>
      </c>
      <c r="H285" s="10" t="s">
        <v>26</v>
      </c>
      <c r="I285" s="12">
        <v>30.0</v>
      </c>
      <c r="J285" s="10" t="s">
        <v>26</v>
      </c>
      <c r="K285" s="12">
        <v>20.0</v>
      </c>
      <c r="L285" s="12">
        <v>7.0</v>
      </c>
      <c r="M285" s="12">
        <v>58.0</v>
      </c>
    </row>
    <row r="286" ht="16.5" hidden="1" customHeight="1">
      <c r="A286" s="10">
        <v>3515.0</v>
      </c>
      <c r="B286" s="10" t="s">
        <v>163</v>
      </c>
      <c r="C286" s="10" t="s">
        <v>34</v>
      </c>
      <c r="D286" s="11">
        <v>45632.0</v>
      </c>
      <c r="E286" s="10" t="s">
        <v>30</v>
      </c>
      <c r="F286" s="12">
        <v>10.0</v>
      </c>
      <c r="G286" s="10" t="s">
        <v>27</v>
      </c>
      <c r="H286" s="10" t="s">
        <v>30</v>
      </c>
      <c r="I286" s="12" t="s">
        <v>32</v>
      </c>
      <c r="J286" s="10" t="s">
        <v>26</v>
      </c>
      <c r="K286" s="12">
        <v>20.0</v>
      </c>
      <c r="L286" s="12">
        <v>10.0</v>
      </c>
      <c r="M286" s="12">
        <v>20.0</v>
      </c>
    </row>
    <row r="287" ht="16.5" hidden="1" customHeight="1">
      <c r="A287" s="10">
        <v>3516.0</v>
      </c>
      <c r="B287" s="10" t="s">
        <v>164</v>
      </c>
      <c r="C287" s="10" t="s">
        <v>29</v>
      </c>
      <c r="D287" s="11">
        <v>45633.0</v>
      </c>
      <c r="E287" s="10" t="s">
        <v>26</v>
      </c>
      <c r="F287" s="12">
        <v>5.0</v>
      </c>
      <c r="G287" s="10" t="s">
        <v>31</v>
      </c>
      <c r="H287" s="10" t="s">
        <v>30</v>
      </c>
      <c r="I287" s="12" t="s">
        <v>32</v>
      </c>
      <c r="J287" s="10" t="s">
        <v>30</v>
      </c>
      <c r="K287" s="12">
        <v>0.0</v>
      </c>
      <c r="L287" s="12">
        <v>0.0</v>
      </c>
      <c r="M287" s="12">
        <v>5.0</v>
      </c>
    </row>
    <row r="288" ht="16.5" customHeight="1">
      <c r="A288" s="10">
        <v>3517.0</v>
      </c>
      <c r="B288" s="10" t="s">
        <v>214</v>
      </c>
      <c r="C288" s="10" t="s">
        <v>25</v>
      </c>
      <c r="D288" s="11">
        <v>45634.0</v>
      </c>
      <c r="E288" s="10" t="s">
        <v>30</v>
      </c>
      <c r="F288" s="12">
        <v>15.0</v>
      </c>
      <c r="G288" s="10" t="s">
        <v>27</v>
      </c>
      <c r="H288" s="10" t="s">
        <v>26</v>
      </c>
      <c r="I288" s="12">
        <v>30.0</v>
      </c>
      <c r="J288" s="10" t="s">
        <v>26</v>
      </c>
      <c r="K288" s="12">
        <v>20.0</v>
      </c>
      <c r="L288" s="12">
        <v>20.0</v>
      </c>
      <c r="M288" s="12">
        <v>45.0</v>
      </c>
    </row>
    <row r="289" ht="16.5" hidden="1" customHeight="1">
      <c r="A289" s="10">
        <v>3518.0</v>
      </c>
      <c r="B289" s="10" t="s">
        <v>305</v>
      </c>
      <c r="C289" s="10" t="s">
        <v>34</v>
      </c>
      <c r="D289" s="11">
        <v>45635.0</v>
      </c>
      <c r="E289" s="10" t="s">
        <v>26</v>
      </c>
      <c r="F289" s="12">
        <v>10.0</v>
      </c>
      <c r="G289" s="10" t="s">
        <v>35</v>
      </c>
      <c r="H289" s="10" t="s">
        <v>30</v>
      </c>
      <c r="I289" s="12" t="s">
        <v>32</v>
      </c>
      <c r="J289" s="10" t="s">
        <v>26</v>
      </c>
      <c r="K289" s="12">
        <v>20.0</v>
      </c>
      <c r="L289" s="12">
        <v>12.0</v>
      </c>
      <c r="M289" s="12">
        <v>18.0</v>
      </c>
    </row>
    <row r="290" ht="16.5" hidden="1" customHeight="1">
      <c r="A290" s="10">
        <v>3519.0</v>
      </c>
      <c r="B290" s="10" t="s">
        <v>306</v>
      </c>
      <c r="C290" s="10" t="s">
        <v>29</v>
      </c>
      <c r="D290" s="11">
        <v>45636.0</v>
      </c>
      <c r="E290" s="10" t="s">
        <v>30</v>
      </c>
      <c r="F290" s="12">
        <v>5.0</v>
      </c>
      <c r="G290" s="10" t="s">
        <v>27</v>
      </c>
      <c r="H290" s="10" t="s">
        <v>30</v>
      </c>
      <c r="I290" s="12" t="s">
        <v>32</v>
      </c>
      <c r="J290" s="10" t="s">
        <v>30</v>
      </c>
      <c r="K290" s="12">
        <v>0.0</v>
      </c>
      <c r="L290" s="12">
        <v>2.0</v>
      </c>
      <c r="M290" s="12">
        <v>3.0</v>
      </c>
    </row>
    <row r="291" ht="16.5" customHeight="1">
      <c r="A291" s="10">
        <v>3520.0</v>
      </c>
      <c r="B291" s="10" t="s">
        <v>307</v>
      </c>
      <c r="C291" s="10" t="s">
        <v>25</v>
      </c>
      <c r="D291" s="11">
        <v>45637.0</v>
      </c>
      <c r="E291" s="10" t="s">
        <v>26</v>
      </c>
      <c r="F291" s="12">
        <v>15.0</v>
      </c>
      <c r="G291" s="10" t="s">
        <v>31</v>
      </c>
      <c r="H291" s="10" t="s">
        <v>26</v>
      </c>
      <c r="I291" s="12">
        <v>30.0</v>
      </c>
      <c r="J291" s="10" t="s">
        <v>26</v>
      </c>
      <c r="K291" s="12">
        <v>20.0</v>
      </c>
      <c r="L291" s="12">
        <v>5.0</v>
      </c>
      <c r="M291" s="12">
        <v>60.0</v>
      </c>
    </row>
    <row r="292" ht="16.5" hidden="1" customHeight="1">
      <c r="A292" s="10">
        <v>3521.0</v>
      </c>
      <c r="B292" s="10" t="s">
        <v>308</v>
      </c>
      <c r="C292" s="10" t="s">
        <v>34</v>
      </c>
      <c r="D292" s="11">
        <v>45638.0</v>
      </c>
      <c r="E292" s="10" t="s">
        <v>30</v>
      </c>
      <c r="F292" s="12">
        <v>10.0</v>
      </c>
      <c r="G292" s="10" t="s">
        <v>27</v>
      </c>
      <c r="H292" s="10" t="s">
        <v>30</v>
      </c>
      <c r="I292" s="12" t="s">
        <v>32</v>
      </c>
      <c r="J292" s="10" t="s">
        <v>26</v>
      </c>
      <c r="K292" s="12">
        <v>20.0</v>
      </c>
      <c r="L292" s="12">
        <v>10.0</v>
      </c>
      <c r="M292" s="12">
        <v>20.0</v>
      </c>
    </row>
    <row r="293" ht="16.5" hidden="1" customHeight="1">
      <c r="A293" s="10">
        <v>3522.0</v>
      </c>
      <c r="B293" s="10" t="s">
        <v>309</v>
      </c>
      <c r="C293" s="10" t="s">
        <v>29</v>
      </c>
      <c r="D293" s="11">
        <v>45639.0</v>
      </c>
      <c r="E293" s="10" t="s">
        <v>26</v>
      </c>
      <c r="F293" s="12">
        <v>5.0</v>
      </c>
      <c r="G293" s="10" t="s">
        <v>35</v>
      </c>
      <c r="H293" s="10" t="s">
        <v>30</v>
      </c>
      <c r="I293" s="12" t="s">
        <v>32</v>
      </c>
      <c r="J293" s="10" t="s">
        <v>30</v>
      </c>
      <c r="K293" s="12">
        <v>0.0</v>
      </c>
      <c r="L293" s="12">
        <v>0.0</v>
      </c>
      <c r="M293" s="12">
        <v>5.0</v>
      </c>
    </row>
    <row r="294" ht="16.5" customHeight="1">
      <c r="A294" s="10">
        <v>3523.0</v>
      </c>
      <c r="B294" s="10" t="s">
        <v>310</v>
      </c>
      <c r="C294" s="10" t="s">
        <v>25</v>
      </c>
      <c r="D294" s="11">
        <v>45640.0</v>
      </c>
      <c r="E294" s="10" t="s">
        <v>30</v>
      </c>
      <c r="F294" s="12">
        <v>15.0</v>
      </c>
      <c r="G294" s="10" t="s">
        <v>27</v>
      </c>
      <c r="H294" s="10" t="s">
        <v>26</v>
      </c>
      <c r="I294" s="12">
        <v>30.0</v>
      </c>
      <c r="J294" s="10" t="s">
        <v>26</v>
      </c>
      <c r="K294" s="12">
        <v>20.0</v>
      </c>
      <c r="L294" s="12">
        <v>3.0</v>
      </c>
      <c r="M294" s="12">
        <v>62.0</v>
      </c>
    </row>
    <row r="295" ht="16.5" hidden="1" customHeight="1">
      <c r="A295" s="10">
        <v>3524.0</v>
      </c>
      <c r="B295" s="10" t="s">
        <v>311</v>
      </c>
      <c r="C295" s="10" t="s">
        <v>34</v>
      </c>
      <c r="D295" s="11">
        <v>45641.0</v>
      </c>
      <c r="E295" s="10" t="s">
        <v>26</v>
      </c>
      <c r="F295" s="12">
        <v>10.0</v>
      </c>
      <c r="G295" s="10" t="s">
        <v>31</v>
      </c>
      <c r="H295" s="10" t="s">
        <v>30</v>
      </c>
      <c r="I295" s="12" t="s">
        <v>32</v>
      </c>
      <c r="J295" s="10" t="s">
        <v>26</v>
      </c>
      <c r="K295" s="12">
        <v>20.0</v>
      </c>
      <c r="L295" s="12">
        <v>15.0</v>
      </c>
      <c r="M295" s="12">
        <v>15.0</v>
      </c>
    </row>
    <row r="296" ht="16.5" hidden="1" customHeight="1">
      <c r="A296" s="10">
        <v>3525.0</v>
      </c>
      <c r="B296" s="10" t="s">
        <v>312</v>
      </c>
      <c r="C296" s="10" t="s">
        <v>29</v>
      </c>
      <c r="D296" s="11">
        <v>45642.0</v>
      </c>
      <c r="E296" s="10" t="s">
        <v>30</v>
      </c>
      <c r="F296" s="12">
        <v>5.0</v>
      </c>
      <c r="G296" s="10" t="s">
        <v>27</v>
      </c>
      <c r="H296" s="10" t="s">
        <v>30</v>
      </c>
      <c r="I296" s="12" t="s">
        <v>32</v>
      </c>
      <c r="J296" s="10" t="s">
        <v>30</v>
      </c>
      <c r="K296" s="12">
        <v>0.0</v>
      </c>
      <c r="L296" s="12">
        <v>1.0</v>
      </c>
      <c r="M296" s="12">
        <v>4.0</v>
      </c>
    </row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AEC"/>
    <pageSetUpPr/>
  </sheetPr>
  <sheetViews>
    <sheetView showGridLines="0" workbookViewId="0"/>
  </sheetViews>
  <sheetFormatPr customHeight="1" defaultColWidth="12.63" defaultRowHeight="15.0"/>
  <cols>
    <col customWidth="1" min="1" max="1" width="38.0"/>
    <col customWidth="1" min="2" max="7" width="17.0"/>
    <col customWidth="1" min="8" max="8" width="5.38"/>
    <col customWidth="1" min="9" max="9" width="21.13"/>
    <col customWidth="1" min="10" max="10" width="24.0"/>
    <col customWidth="1" min="11" max="11" width="8.5"/>
  </cols>
  <sheetData>
    <row r="1">
      <c r="A1" s="13" t="s">
        <v>313</v>
      </c>
    </row>
    <row r="2">
      <c r="A2" s="14" t="s">
        <v>314</v>
      </c>
    </row>
    <row r="3">
      <c r="A3" s="15" t="s">
        <v>315</v>
      </c>
      <c r="B3" s="15" t="s">
        <v>316</v>
      </c>
      <c r="C3" s="15" t="s">
        <v>317</v>
      </c>
      <c r="E3" s="15" t="s">
        <v>318</v>
      </c>
      <c r="F3" s="15" t="s">
        <v>319</v>
      </c>
    </row>
    <row r="4">
      <c r="A4" s="16" t="s">
        <v>320</v>
      </c>
      <c r="B4" s="16" t="str">
        <f>'D̳ashboard'!B7</f>
        <v>Todos</v>
      </c>
      <c r="C4" s="16" t="str">
        <f>IF(B4="Todos","*",B4)</f>
        <v>*</v>
      </c>
      <c r="E4" s="16" t="s">
        <v>321</v>
      </c>
      <c r="F4" s="17" t="s">
        <v>27</v>
      </c>
    </row>
    <row r="5">
      <c r="A5" s="16" t="s">
        <v>322</v>
      </c>
      <c r="B5" s="16" t="str">
        <f>'D̳ashboard'!E7</f>
        <v>Todos</v>
      </c>
      <c r="C5" s="16" t="str">
        <f t="array" ref="C5">IF(B5="Todos","*",IFERROR(INDEX($F$4:$F$6,MATCH(B5,$E$4:$E$6,0)),B5))</f>
        <v>*</v>
      </c>
      <c r="E5" s="16" t="s">
        <v>323</v>
      </c>
      <c r="F5" s="17" t="s">
        <v>35</v>
      </c>
    </row>
    <row r="6">
      <c r="A6" s="16" t="s">
        <v>324</v>
      </c>
      <c r="B6" s="16" t="str">
        <f>'D̳ashboard'!H7</f>
        <v>Todos</v>
      </c>
      <c r="C6" s="16" t="str">
        <f t="array" ref="C6">IF(B6="Todos","*",IFERROR(INDEX($F$7:$F$8,MATCH(B6,$E$7:$E$8,0)),B6))</f>
        <v>*</v>
      </c>
      <c r="E6" s="16" t="s">
        <v>325</v>
      </c>
      <c r="F6" s="17" t="s">
        <v>31</v>
      </c>
    </row>
    <row r="7">
      <c r="E7" s="16" t="s">
        <v>326</v>
      </c>
      <c r="F7" s="17" t="s">
        <v>26</v>
      </c>
    </row>
    <row r="8">
      <c r="A8" s="16" t="s">
        <v>327</v>
      </c>
      <c r="B8" s="18">
        <v>2024.0</v>
      </c>
      <c r="C8" s="14" t="s">
        <v>328</v>
      </c>
      <c r="E8" s="16" t="s">
        <v>329</v>
      </c>
      <c r="F8" s="17" t="s">
        <v>30</v>
      </c>
    </row>
    <row r="10">
      <c r="A10" s="19" t="s">
        <v>330</v>
      </c>
    </row>
    <row r="11">
      <c r="A11" s="15" t="s">
        <v>320</v>
      </c>
      <c r="B11" s="15" t="s">
        <v>331</v>
      </c>
      <c r="C11" s="15" t="s">
        <v>332</v>
      </c>
      <c r="D11" s="15" t="s">
        <v>333</v>
      </c>
      <c r="E11" s="15" t="s">
        <v>334</v>
      </c>
      <c r="F11" s="15" t="s">
        <v>335</v>
      </c>
      <c r="J11" s="20" t="s">
        <v>336</v>
      </c>
    </row>
    <row r="12">
      <c r="A12" s="17" t="s">
        <v>29</v>
      </c>
      <c r="B12" s="21" t="str">
        <f>SUMIFS('B̳ases'!$M$2:$M$296,'B̳ases'!$C$2:$C$296,$A12,'B̳ases'!$G$2:$G$296,$C$5,'B̳ases'!$E$2:$E$296,$C$6)</f>
        <v>R$ 444</v>
      </c>
      <c r="C12" s="22" t="str">
        <f>COUNTIFS('B̳ases'!$C$2:$C$296,$A12,'B̳ases'!$G$2:$G$296,$C$5,'B̳ases'!$E$2:$E$296,$C$6)</f>
        <v>101</v>
      </c>
      <c r="D12" s="21" t="str">
        <f>SUMIFS('B̳ases'!$L$2:$L$296,'B̳ases'!$C$2:$C$296,$A12,'B̳ases'!$G$2:$G$296,$C$5,'B̳ases'!$E$2:$E$296,$C$6)</f>
        <v>R$ 61</v>
      </c>
      <c r="E12" s="23" t="str">
        <f t="shared" ref="E12:E15" si="1">IFERROR(D12/(B12+D12),0)</f>
        <v>12.1%</v>
      </c>
      <c r="F12" s="24" t="str">
        <f t="shared" ref="F12:F15" si="2">IFERROR(B12/C12,0)</f>
        <v>R$ 4.40</v>
      </c>
      <c r="J12" s="15" t="s">
        <v>337</v>
      </c>
    </row>
    <row r="13">
      <c r="A13" s="17" t="s">
        <v>34</v>
      </c>
      <c r="B13" s="21" t="str">
        <f>SUMIFS('B̳ases'!$M$2:$M$296,'B̳ases'!$C$2:$C$296,$A13,'B̳ases'!$G$2:$G$296,$C$5,'B̳ases'!$E$2:$E$296,$C$6)</f>
        <v>R$ 1,801</v>
      </c>
      <c r="C13" s="22" t="str">
        <f>COUNTIFS('B̳ases'!$C$2:$C$296,$A13,'B̳ases'!$G$2:$G$296,$C$5,'B̳ases'!$E$2:$E$296,$C$6)</f>
        <v>96</v>
      </c>
      <c r="D13" s="21" t="str">
        <f>SUMIFS('B̳ases'!$L$2:$L$296,'B̳ases'!$C$2:$C$296,$A13,'B̳ases'!$G$2:$G$296,$C$5,'B̳ases'!$E$2:$E$296,$C$6)</f>
        <v>R$ 1,079</v>
      </c>
      <c r="E13" s="23" t="str">
        <f t="shared" si="1"/>
        <v>37.5%</v>
      </c>
      <c r="F13" s="24" t="str">
        <f t="shared" si="2"/>
        <v>R$ 18.76</v>
      </c>
      <c r="J13" s="25" t="str">
        <f>IF(AND(OR($B$4="Todos",'B̳ases'!$C2=$B$4),OR($B$5="Todos",'B̳ases'!$G2=$C$5),OR($B$6="Todos",'B̳ases'!$E2=$C$6)),'B̳ases'!$M2+ROW()/1000000,"")</f>
        <v>60.000013</v>
      </c>
    </row>
    <row r="14">
      <c r="A14" s="17" t="s">
        <v>25</v>
      </c>
      <c r="B14" s="21" t="str">
        <f>SUMIFS('B̳ases'!$M$2:$M$296,'B̳ases'!$C$2:$C$296,$A14,'B̳ases'!$G$2:$G$296,$C$5,'B̳ases'!$E$2:$E$296,$C$6)</f>
        <v>R$ 5,388</v>
      </c>
      <c r="C14" s="22" t="str">
        <f>COUNTIFS('B̳ases'!$C$2:$C$296,$A14,'B̳ases'!$G$2:$G$296,$C$5,'B̳ases'!$E$2:$E$296,$C$6)</f>
        <v>98</v>
      </c>
      <c r="D14" s="21" t="str">
        <f>SUMIFS('B̳ases'!$L$2:$L$296,'B̳ases'!$C$2:$C$296,$A14,'B̳ases'!$G$2:$G$296,$C$5,'B̳ases'!$E$2:$E$296,$C$6)</f>
        <v>R$ 982</v>
      </c>
      <c r="E14" s="23" t="str">
        <f t="shared" si="1"/>
        <v>15.4%</v>
      </c>
      <c r="F14" s="24" t="str">
        <f t="shared" si="2"/>
        <v>R$ 54.98</v>
      </c>
      <c r="J14" s="25" t="str">
        <f>IF(AND(OR($B$4="Todos",'B̳ases'!$C3=$B$4),OR($B$5="Todos",'B̳ases'!$G3=$C$5),OR($B$6="Todos",'B̳ases'!$E3=$C$6)),'B̳ases'!$M3+ROW()/1000000,"")</f>
        <v>5.000014</v>
      </c>
    </row>
    <row r="15">
      <c r="A15" s="26" t="s">
        <v>338</v>
      </c>
      <c r="B15" s="27" t="str">
        <f t="shared" ref="B15:D15" si="3">SUM(B12:B14)</f>
        <v>R$ 7,633</v>
      </c>
      <c r="C15" s="28" t="str">
        <f t="shared" si="3"/>
        <v>295</v>
      </c>
      <c r="D15" s="27" t="str">
        <f t="shared" si="3"/>
        <v>R$ 2,122</v>
      </c>
      <c r="E15" s="29" t="str">
        <f t="shared" si="1"/>
        <v>21.8%</v>
      </c>
      <c r="F15" s="30" t="str">
        <f t="shared" si="2"/>
        <v>R$ 25.87</v>
      </c>
      <c r="J15" s="25" t="str">
        <f>IF(AND(OR($B$4="Todos",'B̳ases'!$C4=$B$4),OR($B$5="Todos",'B̳ases'!$G4=$C$5),OR($B$6="Todos",'B̳ases'!$E4=$C$6)),'B̳ases'!$M4+ROW()/1000000,"")</f>
        <v>20.000015</v>
      </c>
    </row>
    <row r="16">
      <c r="J16" s="25" t="str">
        <f>IF(AND(OR($B$4="Todos",'B̳ases'!$C5=$B$4),OR($B$5="Todos",'B̳ases'!$G5=$C$5),OR($B$6="Todos",'B̳ases'!$E5=$C$6)),'B̳ases'!$M5+ROW()/1000000,"")</f>
        <v>62.000016</v>
      </c>
    </row>
    <row r="17">
      <c r="A17" s="19" t="s">
        <v>339</v>
      </c>
      <c r="J17" s="25" t="str">
        <f>IF(AND(OR($B$4="Todos",'B̳ases'!$C6=$B$4),OR($B$5="Todos",'B̳ases'!$G6=$C$5),OR($B$6="Todos",'B̳ases'!$E6=$C$6)),'B̳ases'!$M6+ROW()/1000000,"")</f>
        <v>4.000017</v>
      </c>
    </row>
    <row r="18">
      <c r="A18" s="15" t="s">
        <v>340</v>
      </c>
      <c r="B18" s="15" t="s">
        <v>341</v>
      </c>
      <c r="C18" s="15" t="s">
        <v>331</v>
      </c>
      <c r="D18" s="15" t="s">
        <v>342</v>
      </c>
      <c r="J18" s="25" t="str">
        <f>IF(AND(OR($B$4="Todos",'B̳ases'!$C7=$B$4),OR($B$5="Todos",'B̳ases'!$G7=$C$5),OR($B$6="Todos",'B̳ases'!$E7=$C$6)),'B̳ases'!$M7+ROW()/1000000,"")</f>
        <v>28.000018</v>
      </c>
    </row>
    <row r="19">
      <c r="A19" s="16" t="s">
        <v>343</v>
      </c>
      <c r="B19" s="31" t="str">
        <f>DATE($B$8,1,1)</f>
        <v>01/2024</v>
      </c>
      <c r="C19" s="21" t="str">
        <f>SUMIFS('B̳ases'!$M$2:$M$296,'B̳ases'!$D$2:$D$296,"&gt;="&amp;B19,'B̳ases'!$D$2:$D$296,"&lt;"&amp;DATE(YEAR(B19),MONTH(B19)+1,1),'B̳ases'!$C$2:$C$296,$C$4,'B̳ases'!$G$2:$G$296,$C$5,'B̳ases'!$E$2:$E$296,$C$6)</f>
        <v>R$ 65</v>
      </c>
      <c r="D19" s="22" t="str">
        <f>COUNTIFS('B̳ases'!$D$2:$D$296,"&gt;="&amp;B19,'B̳ases'!$D$2:$D$296,"&lt;"&amp;DATE(YEAR(B19),MONTH(B19)+1,1),'B̳ases'!$C$2:$C$296,$C$4,'B̳ases'!$G$2:$G$296,$C$5,'B̳ases'!$E$2:$E$296,$C$6)</f>
        <v>2</v>
      </c>
      <c r="J19" s="25" t="str">
        <f>IF(AND(OR($B$4="Todos",'B̳ases'!$C8=$B$4),OR($B$5="Todos",'B̳ases'!$G8=$C$5),OR($B$6="Todos",'B̳ases'!$E8=$C$6)),'B̳ases'!$M8+ROW()/1000000,"")</f>
        <v>55.000019</v>
      </c>
    </row>
    <row r="20">
      <c r="A20" s="16" t="s">
        <v>344</v>
      </c>
      <c r="B20" s="31" t="str">
        <f>DATE($B$8,2,1)</f>
        <v>02/2024</v>
      </c>
      <c r="C20" s="21" t="str">
        <f>SUMIFS('B̳ases'!$M$2:$M$296,'B̳ases'!$D$2:$D$296,"&gt;="&amp;B20,'B̳ases'!$D$2:$D$296,"&lt;"&amp;DATE(YEAR(B20),MONTH(B20)+1,1),'B̳ases'!$C$2:$C$296,$C$4,'B̳ases'!$G$2:$G$296,$C$5,'B̳ases'!$E$2:$E$296,$C$6)</f>
        <v>R$ 82</v>
      </c>
      <c r="D20" s="22" t="str">
        <f>COUNTIFS('B̳ases'!$D$2:$D$296,"&gt;="&amp;B20,'B̳ases'!$D$2:$D$296,"&lt;"&amp;DATE(YEAR(B20),MONTH(B20)+1,1),'B̳ases'!$C$2:$C$296,$C$4,'B̳ases'!$G$2:$G$296,$C$5,'B̳ases'!$E$2:$E$296,$C$6)</f>
        <v>2</v>
      </c>
      <c r="J20" s="25" t="str">
        <f>IF(AND(OR($B$4="Todos",'B̳ases'!$C9=$B$4),OR($B$5="Todos",'B̳ases'!$G9=$C$5),OR($B$6="Todos",'B̳ases'!$E9=$C$6)),'B̳ases'!$M9+ROW()/1000000,"")</f>
        <v>5.000020</v>
      </c>
    </row>
    <row r="21" ht="15.75" customHeight="1">
      <c r="A21" s="16" t="s">
        <v>345</v>
      </c>
      <c r="B21" s="31" t="str">
        <f>DATE($B$8,3,1)</f>
        <v>03/2024</v>
      </c>
      <c r="C21" s="21" t="str">
        <f>SUMIFS('B̳ases'!$M$2:$M$296,'B̳ases'!$D$2:$D$296,"&gt;="&amp;B21,'B̳ases'!$D$2:$D$296,"&lt;"&amp;DATE(YEAR(B21),MONTH(B21)+1,1),'B̳ases'!$C$2:$C$296,$C$4,'B̳ases'!$G$2:$G$296,$C$5,'B̳ases'!$E$2:$E$296,$C$6)</f>
        <v>R$ 801</v>
      </c>
      <c r="D21" s="22" t="str">
        <f>COUNTIFS('B̳ases'!$D$2:$D$296,"&gt;="&amp;B21,'B̳ases'!$D$2:$D$296,"&lt;"&amp;DATE(YEAR(B21),MONTH(B21)+1,1),'B̳ases'!$C$2:$C$296,$C$4,'B̳ases'!$G$2:$G$296,$C$5,'B̳ases'!$E$2:$E$296,$C$6)</f>
        <v>31</v>
      </c>
      <c r="J21" s="25" t="str">
        <f>IF(AND(OR($B$4="Todos",'B̳ases'!$C10=$B$4),OR($B$5="Todos",'B̳ases'!$G10=$C$5),OR($B$6="Todos",'B̳ases'!$E10=$C$6)),'B̳ases'!$M10+ROW()/1000000,"")</f>
        <v>60.000021</v>
      </c>
    </row>
    <row r="22" ht="15.75" customHeight="1">
      <c r="A22" s="16" t="s">
        <v>346</v>
      </c>
      <c r="B22" s="31" t="str">
        <f>DATE($B$8,4,1)</f>
        <v>04/2024</v>
      </c>
      <c r="C22" s="21" t="str">
        <f>SUMIFS('B̳ases'!$M$2:$M$296,'B̳ases'!$D$2:$D$296,"&gt;="&amp;B22,'B̳ases'!$D$2:$D$296,"&lt;"&amp;DATE(YEAR(B22),MONTH(B22)+1,1),'B̳ases'!$C$2:$C$296,$C$4,'B̳ases'!$G$2:$G$296,$C$5,'B̳ases'!$E$2:$E$296,$C$6)</f>
        <v>R$ 782</v>
      </c>
      <c r="D22" s="22" t="str">
        <f>COUNTIFS('B̳ases'!$D$2:$D$296,"&gt;="&amp;B22,'B̳ases'!$D$2:$D$296,"&lt;"&amp;DATE(YEAR(B22),MONTH(B22)+1,1),'B̳ases'!$C$2:$C$296,$C$4,'B̳ases'!$G$2:$G$296,$C$5,'B̳ases'!$E$2:$E$296,$C$6)</f>
        <v>30</v>
      </c>
      <c r="J22" s="25" t="str">
        <f>IF(AND(OR($B$4="Todos",'B̳ases'!$C11=$B$4),OR($B$5="Todos",'B̳ases'!$G11=$C$5),OR($B$6="Todos",'B̳ases'!$E11=$C$6)),'B̳ases'!$M11+ROW()/1000000,"")</f>
        <v>15.000022</v>
      </c>
    </row>
    <row r="23" ht="15.75" customHeight="1">
      <c r="A23" s="16" t="s">
        <v>347</v>
      </c>
      <c r="B23" s="31" t="str">
        <f>DATE($B$8,5,1)</f>
        <v>05/2024</v>
      </c>
      <c r="C23" s="21" t="str">
        <f>SUMIFS('B̳ases'!$M$2:$M$296,'B̳ases'!$D$2:$D$296,"&gt;="&amp;B23,'B̳ases'!$D$2:$D$296,"&lt;"&amp;DATE(YEAR(B23),MONTH(B23)+1,1),'B̳ases'!$C$2:$C$296,$C$4,'B̳ases'!$G$2:$G$296,$C$5,'B̳ases'!$E$2:$E$296,$C$6)</f>
        <v>R$ 777</v>
      </c>
      <c r="D23" s="22" t="str">
        <f>COUNTIFS('B̳ases'!$D$2:$D$296,"&gt;="&amp;B23,'B̳ases'!$D$2:$D$296,"&lt;"&amp;DATE(YEAR(B23),MONTH(B23)+1,1),'B̳ases'!$C$2:$C$296,$C$4,'B̳ases'!$G$2:$G$296,$C$5,'B̳ases'!$E$2:$E$296,$C$6)</f>
        <v>31</v>
      </c>
      <c r="J23" s="25" t="str">
        <f>IF(AND(OR($B$4="Todos",'B̳ases'!$C12=$B$4),OR($B$5="Todos",'B̳ases'!$G12=$C$5),OR($B$6="Todos",'B̳ases'!$E12=$C$6)),'B̳ases'!$M12+ROW()/1000000,"")</f>
        <v>4.000023</v>
      </c>
    </row>
    <row r="24" ht="15.75" customHeight="1">
      <c r="A24" s="16" t="s">
        <v>348</v>
      </c>
      <c r="B24" s="31" t="str">
        <f>DATE($B$8,6,1)</f>
        <v>06/2024</v>
      </c>
      <c r="C24" s="21" t="str">
        <f>SUMIFS('B̳ases'!$M$2:$M$296,'B̳ases'!$D$2:$D$296,"&gt;="&amp;B24,'B̳ases'!$D$2:$D$296,"&lt;"&amp;DATE(YEAR(B24),MONTH(B24)+1,1),'B̳ases'!$C$2:$C$296,$C$4,'B̳ases'!$G$2:$G$296,$C$5,'B̳ases'!$E$2:$E$296,$C$6)</f>
        <v>R$ 770</v>
      </c>
      <c r="D24" s="22" t="str">
        <f>COUNTIFS('B̳ases'!$D$2:$D$296,"&gt;="&amp;B24,'B̳ases'!$D$2:$D$296,"&lt;"&amp;DATE(YEAR(B24),MONTH(B24)+1,1),'B̳ases'!$C$2:$C$296,$C$4,'B̳ases'!$G$2:$G$296,$C$5,'B̳ases'!$E$2:$E$296,$C$6)</f>
        <v>30</v>
      </c>
      <c r="J24" s="25" t="str">
        <f>IF(AND(OR($B$4="Todos",'B̳ases'!$C13=$B$4),OR($B$5="Todos",'B̳ases'!$G13=$C$5),OR($B$6="Todos",'B̳ases'!$E13=$C$6)),'B̳ases'!$M13+ROW()/1000000,"")</f>
        <v>45.000024</v>
      </c>
    </row>
    <row r="25" ht="15.75" customHeight="1">
      <c r="A25" s="16" t="s">
        <v>349</v>
      </c>
      <c r="B25" s="31" t="str">
        <f>DATE($B$8,7,1)</f>
        <v>07/2024</v>
      </c>
      <c r="C25" s="21" t="str">
        <f>SUMIFS('B̳ases'!$M$2:$M$296,'B̳ases'!$D$2:$D$296,"&gt;="&amp;B25,'B̳ases'!$D$2:$D$296,"&lt;"&amp;DATE(YEAR(B25),MONTH(B25)+1,1),'B̳ases'!$C$2:$C$296,$C$4,'B̳ases'!$G$2:$G$296,$C$5,'B̳ases'!$E$2:$E$296,$C$6)</f>
        <v>R$ 784</v>
      </c>
      <c r="D25" s="22" t="str">
        <f>COUNTIFS('B̳ases'!$D$2:$D$296,"&gt;="&amp;B25,'B̳ases'!$D$2:$D$296,"&lt;"&amp;DATE(YEAR(B25),MONTH(B25)+1,1),'B̳ases'!$C$2:$C$296,$C$4,'B̳ases'!$G$2:$G$296,$C$5,'B̳ases'!$E$2:$E$296,$C$6)</f>
        <v>31</v>
      </c>
      <c r="J25" s="25" t="str">
        <f>IF(AND(OR($B$4="Todos",'B̳ases'!$C14=$B$4),OR($B$5="Todos",'B̳ases'!$G14=$C$5),OR($B$6="Todos",'B̳ases'!$E14=$C$6)),'B̳ases'!$M14+ROW()/1000000,"")</f>
        <v>20.000025</v>
      </c>
    </row>
    <row r="26" ht="15.75" customHeight="1">
      <c r="A26" s="16" t="s">
        <v>350</v>
      </c>
      <c r="B26" s="31" t="str">
        <f>DATE($B$8,8,1)</f>
        <v>08/2024</v>
      </c>
      <c r="C26" s="21" t="str">
        <f>SUMIFS('B̳ases'!$M$2:$M$296,'B̳ases'!$D$2:$D$296,"&gt;="&amp;B26,'B̳ases'!$D$2:$D$296,"&lt;"&amp;DATE(YEAR(B26),MONTH(B26)+1,1),'B̳ases'!$C$2:$C$296,$C$4,'B̳ases'!$G$2:$G$296,$C$5,'B̳ases'!$E$2:$E$296,$C$6)</f>
        <v>R$ 787</v>
      </c>
      <c r="D26" s="22" t="str">
        <f>COUNTIFS('B̳ases'!$D$2:$D$296,"&gt;="&amp;B26,'B̳ases'!$D$2:$D$296,"&lt;"&amp;DATE(YEAR(B26),MONTH(B26)+1,1),'B̳ases'!$C$2:$C$296,$C$4,'B̳ases'!$G$2:$G$296,$C$5,'B̳ases'!$E$2:$E$296,$C$6)</f>
        <v>31</v>
      </c>
      <c r="J26" s="25" t="str">
        <f>IF(AND(OR($B$4="Todos",'B̳ases'!$C15=$B$4),OR($B$5="Todos",'B̳ases'!$G15=$C$5),OR($B$6="Todos",'B̳ases'!$E15=$C$6)),'B̳ases'!$M15+ROW()/1000000,"")</f>
        <v>5.000026</v>
      </c>
    </row>
    <row r="27" ht="15.75" customHeight="1">
      <c r="A27" s="16" t="s">
        <v>351</v>
      </c>
      <c r="B27" s="31" t="str">
        <f>DATE($B$8,9,1)</f>
        <v>09/2024</v>
      </c>
      <c r="C27" s="21" t="str">
        <f>SUMIFS('B̳ases'!$M$2:$M$296,'B̳ases'!$D$2:$D$296,"&gt;="&amp;B27,'B̳ases'!$D$2:$D$296,"&lt;"&amp;DATE(YEAR(B27),MONTH(B27)+1,1),'B̳ases'!$C$2:$C$296,$C$4,'B̳ases'!$G$2:$G$296,$C$5,'B̳ases'!$E$2:$E$296,$C$6)</f>
        <v>R$ 780</v>
      </c>
      <c r="D27" s="22" t="str">
        <f>COUNTIFS('B̳ases'!$D$2:$D$296,"&gt;="&amp;B27,'B̳ases'!$D$2:$D$296,"&lt;"&amp;DATE(YEAR(B27),MONTH(B27)+1,1),'B̳ases'!$C$2:$C$296,$C$4,'B̳ases'!$G$2:$G$296,$C$5,'B̳ases'!$E$2:$E$296,$C$6)</f>
        <v>30</v>
      </c>
      <c r="J27" s="25" t="str">
        <f>IF(AND(OR($B$4="Todos",'B̳ases'!$C16=$B$4),OR($B$5="Todos",'B̳ases'!$G16=$C$5),OR($B$6="Todos",'B̳ases'!$E16=$C$6)),'B̳ases'!$M16+ROW()/1000000,"")</f>
        <v>57.000027</v>
      </c>
    </row>
    <row r="28" ht="15.75" customHeight="1">
      <c r="A28" s="16" t="s">
        <v>352</v>
      </c>
      <c r="B28" s="31" t="str">
        <f>DATE($B$8,10,1)</f>
        <v>10/2024</v>
      </c>
      <c r="C28" s="21" t="str">
        <f>SUMIFS('B̳ases'!$M$2:$M$296,'B̳ases'!$D$2:$D$296,"&gt;="&amp;B28,'B̳ases'!$D$2:$D$296,"&lt;"&amp;DATE(YEAR(B28),MONTH(B28)+1,1),'B̳ases'!$C$2:$C$296,$C$4,'B̳ases'!$G$2:$G$296,$C$5,'B̳ases'!$E$2:$E$296,$C$6)</f>
        <v>R$ 832</v>
      </c>
      <c r="D28" s="22" t="str">
        <f>COUNTIFS('B̳ases'!$D$2:$D$296,"&gt;="&amp;B28,'B̳ases'!$D$2:$D$296,"&lt;"&amp;DATE(YEAR(B28),MONTH(B28)+1,1),'B̳ases'!$C$2:$C$296,$C$4,'B̳ases'!$G$2:$G$296,$C$5,'B̳ases'!$E$2:$E$296,$C$6)</f>
        <v>31</v>
      </c>
      <c r="J28" s="25" t="str">
        <f>IF(AND(OR($B$4="Todos",'B̳ases'!$C17=$B$4),OR($B$5="Todos",'B̳ases'!$G17=$C$5),OR($B$6="Todos",'B̳ases'!$E17=$C$6)),'B̳ases'!$M17+ROW()/1000000,"")</f>
        <v>18.000028</v>
      </c>
    </row>
    <row r="29" ht="15.75" customHeight="1">
      <c r="A29" s="16" t="s">
        <v>353</v>
      </c>
      <c r="B29" s="31" t="str">
        <f>DATE($B$8,11,1)</f>
        <v>11/2024</v>
      </c>
      <c r="C29" s="21" t="str">
        <f>SUMIFS('B̳ases'!$M$2:$M$296,'B̳ases'!$D$2:$D$296,"&gt;="&amp;B29,'B̳ases'!$D$2:$D$296,"&lt;"&amp;DATE(YEAR(B29),MONTH(B29)+1,1),'B̳ases'!$C$2:$C$296,$C$4,'B̳ases'!$G$2:$G$296,$C$5,'B̳ases'!$E$2:$E$296,$C$6)</f>
        <v>R$ 784</v>
      </c>
      <c r="D29" s="22" t="str">
        <f>COUNTIFS('B̳ases'!$D$2:$D$296,"&gt;="&amp;B29,'B̳ases'!$D$2:$D$296,"&lt;"&amp;DATE(YEAR(B29),MONTH(B29)+1,1),'B̳ases'!$C$2:$C$296,$C$4,'B̳ases'!$G$2:$G$296,$C$5,'B̳ases'!$E$2:$E$296,$C$6)</f>
        <v>30</v>
      </c>
      <c r="J29" s="25" t="str">
        <f>IF(AND(OR($B$4="Todos",'B̳ases'!$C18=$B$4),OR($B$5="Todos",'B̳ases'!$G18=$C$5),OR($B$6="Todos",'B̳ases'!$E18=$C$6)),'B̳ases'!$M18+ROW()/1000000,"")</f>
        <v>3.000029</v>
      </c>
    </row>
    <row r="30" ht="15.75" customHeight="1">
      <c r="A30" s="16" t="s">
        <v>354</v>
      </c>
      <c r="B30" s="31" t="str">
        <f>DATE($B$8,12,1)</f>
        <v>12/2024</v>
      </c>
      <c r="C30" s="21" t="str">
        <f>SUMIFS('B̳ases'!$M$2:$M$296,'B̳ases'!$D$2:$D$296,"&gt;="&amp;B30,'B̳ases'!$D$2:$D$296,"&lt;"&amp;DATE(YEAR(B30),MONTH(B30)+1,1),'B̳ases'!$C$2:$C$296,$C$4,'B̳ases'!$G$2:$G$296,$C$5,'B̳ases'!$E$2:$E$296,$C$6)</f>
        <v>R$ 389</v>
      </c>
      <c r="D30" s="22" t="str">
        <f>COUNTIFS('B̳ases'!$D$2:$D$296,"&gt;="&amp;B30,'B̳ases'!$D$2:$D$296,"&lt;"&amp;DATE(YEAR(B30),MONTH(B30)+1,1),'B̳ases'!$C$2:$C$296,$C$4,'B̳ases'!$G$2:$G$296,$C$5,'B̳ases'!$E$2:$E$296,$C$6)</f>
        <v>16</v>
      </c>
      <c r="J30" s="25" t="str">
        <f>IF(AND(OR($B$4="Todos",'B̳ases'!$C19=$B$4),OR($B$5="Todos",'B̳ases'!$G19=$C$5),OR($B$6="Todos",'B̳ases'!$E19=$C$6)),'B̳ases'!$M19+ROW()/1000000,"")</f>
        <v>58.000030</v>
      </c>
    </row>
    <row r="31" ht="15.75" customHeight="1">
      <c r="J31" s="25" t="str">
        <f>IF(AND(OR($B$4="Todos",'B̳ases'!$C20=$B$4),OR($B$5="Todos",'B̳ases'!$G20=$C$5),OR($B$6="Todos",'B̳ases'!$E20=$C$6)),'B̳ases'!$M20+ROW()/1000000,"")</f>
        <v>25.000031</v>
      </c>
    </row>
    <row r="32" ht="15.75" customHeight="1">
      <c r="A32" s="19" t="s">
        <v>355</v>
      </c>
      <c r="J32" s="25" t="str">
        <f>IF(AND(OR($B$4="Todos",'B̳ases'!$C21=$B$4),OR($B$5="Todos",'B̳ases'!$G21=$C$5),OR($B$6="Todos",'B̳ases'!$E21=$C$6)),'B̳ases'!$M21+ROW()/1000000,"")</f>
        <v>5.000032</v>
      </c>
    </row>
    <row r="33" ht="15.75" customHeight="1">
      <c r="A33" s="15" t="s">
        <v>356</v>
      </c>
      <c r="B33" s="15" t="s">
        <v>319</v>
      </c>
      <c r="C33" s="15" t="s">
        <v>332</v>
      </c>
      <c r="D33" s="15" t="s">
        <v>331</v>
      </c>
      <c r="J33" s="25" t="str">
        <f>IF(AND(OR($B$4="Todos",'B̳ases'!$C22=$B$4),OR($B$5="Todos",'B̳ases'!$G22=$C$5),OR($B$6="Todos",'B̳ases'!$E22=$C$6)),'B̳ases'!$M22+ROW()/1000000,"")</f>
        <v>62.000033</v>
      </c>
    </row>
    <row r="34" ht="15.75" customHeight="1">
      <c r="A34" s="16" t="s">
        <v>321</v>
      </c>
      <c r="B34" s="17" t="s">
        <v>27</v>
      </c>
      <c r="C34" s="22" t="str">
        <f>COUNTIFS('B̳ases'!$G$2:$G$296,$B34,'B̳ases'!$C$2:$C$296,$C$4,'B̳ases'!$E$2:$E$296,$C$6)</f>
        <v>139</v>
      </c>
      <c r="D34" s="21" t="str">
        <f>SUMIFS('B̳ases'!$M$2:$M$296,'B̳ases'!$G$2:$G$296,$B34,'B̳ases'!$C$2:$C$296,$C$4,'B̳ases'!$E$2:$E$296,$C$6)</f>
        <v>R$ 3,571</v>
      </c>
      <c r="J34" s="25" t="str">
        <f>IF(AND(OR($B$4="Todos",'B̳ases'!$C23=$B$4),OR($B$5="Todos",'B̳ases'!$G23=$C$5),OR($B$6="Todos",'B̳ases'!$E23=$C$6)),'B̳ases'!$M23+ROW()/1000000,"")</f>
        <v>15.000034</v>
      </c>
    </row>
    <row r="35" ht="15.75" customHeight="1">
      <c r="A35" s="16" t="s">
        <v>323</v>
      </c>
      <c r="B35" s="17" t="s">
        <v>35</v>
      </c>
      <c r="C35" s="22" t="str">
        <f>COUNTIFS('B̳ases'!$G$2:$G$296,$B35,'B̳ases'!$C$2:$C$296,$C$4,'B̳ases'!$E$2:$E$296,$C$6)</f>
        <v>85</v>
      </c>
      <c r="D35" s="21" t="str">
        <f>SUMIFS('B̳ases'!$M$2:$M$296,'B̳ases'!$G$2:$G$296,$B35,'B̳ases'!$C$2:$C$296,$C$4,'B̳ases'!$E$2:$E$296,$C$6)</f>
        <v>R$ 2,308</v>
      </c>
      <c r="J35" s="25" t="str">
        <f>IF(AND(OR($B$4="Todos",'B̳ases'!$C24=$B$4),OR($B$5="Todos",'B̳ases'!$G24=$C$5),OR($B$6="Todos",'B̳ases'!$E24=$C$6)),'B̳ases'!$M24+ROW()/1000000,"")</f>
        <v>4.000035</v>
      </c>
    </row>
    <row r="36" ht="15.75" customHeight="1">
      <c r="A36" s="16" t="s">
        <v>325</v>
      </c>
      <c r="B36" s="17" t="s">
        <v>31</v>
      </c>
      <c r="C36" s="22" t="str">
        <f>COUNTIFS('B̳ases'!$G$2:$G$296,$B36,'B̳ases'!$C$2:$C$296,$C$4,'B̳ases'!$E$2:$E$296,$C$6)</f>
        <v>71</v>
      </c>
      <c r="D36" s="21" t="str">
        <f>SUMIFS('B̳ases'!$M$2:$M$296,'B̳ases'!$G$2:$G$296,$B36,'B̳ases'!$C$2:$C$296,$C$4,'B̳ases'!$E$2:$E$296,$C$6)</f>
        <v>R$ 1,754</v>
      </c>
      <c r="J36" s="25" t="str">
        <f>IF(AND(OR($B$4="Todos",'B̳ases'!$C25=$B$4),OR($B$5="Todos",'B̳ases'!$G25=$C$5),OR($B$6="Todos",'B̳ases'!$E25=$C$6)),'B̳ases'!$M25+ROW()/1000000,"")</f>
        <v>45.000036</v>
      </c>
    </row>
    <row r="37" ht="15.75" customHeight="1">
      <c r="J37" s="25" t="str">
        <f>IF(AND(OR($B$4="Todos",'B̳ases'!$C26=$B$4),OR($B$5="Todos",'B̳ases'!$G26=$C$5),OR($B$6="Todos",'B̳ases'!$E26=$C$6)),'B̳ases'!$M26+ROW()/1000000,"")</f>
        <v>20.000037</v>
      </c>
    </row>
    <row r="38" ht="15.75" customHeight="1">
      <c r="A38" s="19" t="s">
        <v>357</v>
      </c>
      <c r="J38" s="25" t="str">
        <f>IF(AND(OR($B$4="Todos",'B̳ases'!$C27=$B$4),OR($B$5="Todos",'B̳ases'!$G27=$C$5),OR($B$6="Todos",'B̳ases'!$E27=$C$6)),'B̳ases'!$M27+ROW()/1000000,"")</f>
        <v>5.000038</v>
      </c>
    </row>
    <row r="39" ht="15.75" customHeight="1">
      <c r="A39" s="15" t="s">
        <v>320</v>
      </c>
      <c r="B39" s="15" t="s">
        <v>358</v>
      </c>
      <c r="C39" s="15" t="s">
        <v>359</v>
      </c>
      <c r="J39" s="25" t="str">
        <f>IF(AND(OR($B$4="Todos",'B̳ases'!$C28=$B$4),OR($B$5="Todos",'B̳ases'!$G28=$C$5),OR($B$6="Todos",'B̳ases'!$E28=$C$6)),'B̳ases'!$M28+ROW()/1000000,"")</f>
        <v>60.000039</v>
      </c>
    </row>
    <row r="40" ht="15.75" customHeight="1">
      <c r="A40" s="17" t="s">
        <v>29</v>
      </c>
      <c r="B40" s="22" t="str">
        <f>COUNTIFS('B̳ases'!$C$2:$C$296,$A40,'B̳ases'!$E$2:$E$296,"Yes",'B̳ases'!$G$2:$G$296,$C$5)</f>
        <v>51</v>
      </c>
      <c r="C40" s="22" t="str">
        <f>COUNTIFS('B̳ases'!$C$2:$C$296,$A40,'B̳ases'!$E$2:$E$296,"No",'B̳ases'!$G$2:$G$296,$C$5)</f>
        <v>50</v>
      </c>
      <c r="J40" s="25" t="str">
        <f>IF(AND(OR($B$4="Todos",'B̳ases'!$C29=$B$4),OR($B$5="Todos",'B̳ases'!$G29=$C$5),OR($B$6="Todos",'B̳ases'!$E29=$C$6)),'B̳ases'!$M29+ROW()/1000000,"")</f>
        <v>15.000040</v>
      </c>
    </row>
    <row r="41" ht="15.75" customHeight="1">
      <c r="A41" s="17" t="s">
        <v>34</v>
      </c>
      <c r="B41" s="22" t="str">
        <f>COUNTIFS('B̳ases'!$C$2:$C$296,$A41,'B̳ases'!$E$2:$E$296,"Yes",'B̳ases'!$G$2:$G$296,$C$5)</f>
        <v>49</v>
      </c>
      <c r="C41" s="22" t="str">
        <f>COUNTIFS('B̳ases'!$C$2:$C$296,$A41,'B̳ases'!$E$2:$E$296,"No",'B̳ases'!$G$2:$G$296,$C$5)</f>
        <v>47</v>
      </c>
      <c r="J41" s="25" t="str">
        <f>IF(AND(OR($B$4="Todos",'B̳ases'!$C30=$B$4),OR($B$5="Todos",'B̳ases'!$G30=$C$5),OR($B$6="Todos",'B̳ases'!$E30=$C$6)),'B̳ases'!$M30+ROW()/1000000,"")</f>
        <v>4.000041</v>
      </c>
    </row>
    <row r="42" ht="15.75" customHeight="1">
      <c r="A42" s="17" t="s">
        <v>25</v>
      </c>
      <c r="B42" s="22" t="str">
        <f>COUNTIFS('B̳ases'!$C$2:$C$296,$A42,'B̳ases'!$E$2:$E$296,"Yes",'B̳ases'!$G$2:$G$296,$C$5)</f>
        <v>48</v>
      </c>
      <c r="C42" s="22" t="str">
        <f>COUNTIFS('B̳ases'!$C$2:$C$296,$A42,'B̳ases'!$E$2:$E$296,"No",'B̳ases'!$G$2:$G$296,$C$5)</f>
        <v>50</v>
      </c>
      <c r="J42" s="25" t="str">
        <f>IF(AND(OR($B$4="Todos",'B̳ases'!$C31=$B$4),OR($B$5="Todos",'B̳ases'!$G31=$C$5),OR($B$6="Todos",'B̳ases'!$E31=$C$6)),'B̳ases'!$M31+ROW()/1000000,"")</f>
        <v>58.000042</v>
      </c>
    </row>
    <row r="43" ht="15.75" customHeight="1">
      <c r="J43" s="25" t="str">
        <f>IF(AND(OR($B$4="Todos",'B̳ases'!$C32=$B$4),OR($B$5="Todos",'B̳ases'!$G32=$C$5),OR($B$6="Todos",'B̳ases'!$E32=$C$6)),'B̳ases'!$M32+ROW()/1000000,"")</f>
        <v>20.000043</v>
      </c>
    </row>
    <row r="44" ht="15.75" customHeight="1">
      <c r="A44" s="19" t="s">
        <v>360</v>
      </c>
      <c r="J44" s="25" t="str">
        <f>IF(AND(OR($B$4="Todos",'B̳ases'!$C33=$B$4),OR($B$5="Todos",'B̳ases'!$G33=$C$5),OR($B$6="Todos",'B̳ases'!$E33=$C$6)),'B̳ases'!$M33+ROW()/1000000,"")</f>
        <v>5.000044</v>
      </c>
    </row>
    <row r="45" ht="15.75" customHeight="1">
      <c r="A45" s="15" t="s">
        <v>320</v>
      </c>
      <c r="B45" s="15" t="s">
        <v>361</v>
      </c>
      <c r="C45" s="15" t="s">
        <v>362</v>
      </c>
      <c r="D45" s="15" t="s">
        <v>332</v>
      </c>
      <c r="J45" s="25" t="str">
        <f>IF(AND(OR($B$4="Todos",'B̳ases'!$C34=$B$4),OR($B$5="Todos",'B̳ases'!$G34=$C$5),OR($B$6="Todos",'B̳ases'!$E34=$C$6)),'B̳ases'!$M34+ROW()/1000000,"")</f>
        <v>62.000045</v>
      </c>
    </row>
    <row r="46" ht="15.75" customHeight="1">
      <c r="A46" s="17" t="s">
        <v>29</v>
      </c>
      <c r="B46" s="32" t="str">
        <f>IFERROR(COUNTIFS('B̳ases'!$C$2:$C$296,$A46,'B̳ases'!$J$2:$J$296,"Yes",'B̳ases'!$G$2:$G$296,$C$5,'B̳ases'!$E$2:$E$296,$C$6)/D46,0)</f>
        <v>0%</v>
      </c>
      <c r="C46" s="32" t="str">
        <f>IFERROR(COUNTIFS('B̳ases'!$C$2:$C$296,$A46,'B̳ases'!$H$2:$H$296,"Yes",'B̳ases'!$G$2:$G$296,$C$5,'B̳ases'!$E$2:$E$296,$C$6)/D46,0)</f>
        <v>0%</v>
      </c>
      <c r="D46" s="22" t="str">
        <f>COUNTIFS('B̳ases'!$C$2:$C$296,$A46,'B̳ases'!$G$2:$G$296,$C$5,'B̳ases'!$E$2:$E$296,$C$6)</f>
        <v>101</v>
      </c>
      <c r="J46" s="25" t="str">
        <f>IF(AND(OR($B$4="Todos",'B̳ases'!$C35=$B$4),OR($B$5="Todos",'B̳ases'!$G35=$C$5),OR($B$6="Todos",'B̳ases'!$E35=$C$6)),'B̳ases'!$M35+ROW()/1000000,"")</f>
        <v>15.000046</v>
      </c>
    </row>
    <row r="47" ht="15.75" customHeight="1">
      <c r="A47" s="17" t="s">
        <v>34</v>
      </c>
      <c r="B47" s="32" t="str">
        <f>IFERROR(COUNTIFS('B̳ases'!$C$2:$C$296,$A47,'B̳ases'!$J$2:$J$296,"Yes",'B̳ases'!$G$2:$G$296,$C$5,'B̳ases'!$E$2:$E$296,$C$6)/D47,0)</f>
        <v>100%</v>
      </c>
      <c r="C47" s="32" t="str">
        <f>IFERROR(COUNTIFS('B̳ases'!$C$2:$C$296,$A47,'B̳ases'!$H$2:$H$296,"Yes",'B̳ases'!$G$2:$G$296,$C$5,'B̳ases'!$E$2:$E$296,$C$6)/D47,0)</f>
        <v>0%</v>
      </c>
      <c r="D47" s="22" t="str">
        <f>COUNTIFS('B̳ases'!$C$2:$C$296,$A47,'B̳ases'!$G$2:$G$296,$C$5,'B̳ases'!$E$2:$E$296,$C$6)</f>
        <v>96</v>
      </c>
      <c r="J47" s="25" t="str">
        <f>IF(AND(OR($B$4="Todos",'B̳ases'!$C36=$B$4),OR($B$5="Todos",'B̳ases'!$G36=$C$5),OR($B$6="Todos",'B̳ases'!$E36=$C$6)),'B̳ases'!$M36+ROW()/1000000,"")</f>
        <v>4.000047</v>
      </c>
    </row>
    <row r="48" ht="15.75" customHeight="1">
      <c r="A48" s="17" t="s">
        <v>25</v>
      </c>
      <c r="B48" s="32" t="str">
        <f>IFERROR(COUNTIFS('B̳ases'!$C$2:$C$296,$A48,'B̳ases'!$J$2:$J$296,"Yes",'B̳ases'!$G$2:$G$296,$C$5,'B̳ases'!$E$2:$E$296,$C$6)/D48,0)</f>
        <v>100%</v>
      </c>
      <c r="C48" s="32" t="str">
        <f>IFERROR(COUNTIFS('B̳ases'!$C$2:$C$296,$A48,'B̳ases'!$H$2:$H$296,"Yes",'B̳ases'!$G$2:$G$296,$C$5,'B̳ases'!$E$2:$E$296,$C$6)/D48,0)</f>
        <v>100%</v>
      </c>
      <c r="D48" s="22" t="str">
        <f>COUNTIFS('B̳ases'!$C$2:$C$296,$A48,'B̳ases'!$G$2:$G$296,$C$5,'B̳ases'!$E$2:$E$296,$C$6)</f>
        <v>98</v>
      </c>
      <c r="J48" s="25" t="str">
        <f>IF(AND(OR($B$4="Todos",'B̳ases'!$C37=$B$4),OR($B$5="Todos",'B̳ases'!$G37=$C$5),OR($B$6="Todos",'B̳ases'!$E37=$C$6)),'B̳ases'!$M37+ROW()/1000000,"")</f>
        <v>5.000048</v>
      </c>
    </row>
    <row r="49" ht="15.75" customHeight="1">
      <c r="J49" s="25" t="str">
        <f>IF(AND(OR($B$4="Todos",'B̳ases'!$C38=$B$4),OR($B$5="Todos",'B̳ases'!$G38=$C$5),OR($B$6="Todos",'B̳ases'!$E38=$C$6)),'B̳ases'!$M38+ROW()/1000000,"")</f>
        <v>58.000049</v>
      </c>
    </row>
    <row r="50" ht="15.75" customHeight="1">
      <c r="A50" s="19" t="s">
        <v>363</v>
      </c>
      <c r="J50" s="25" t="str">
        <f>IF(AND(OR($B$4="Todos",'B̳ases'!$C39=$B$4),OR($B$5="Todos",'B̳ases'!$G39=$C$5),OR($B$6="Todos",'B̳ases'!$E39=$C$6)),'B̳ases'!$M39+ROW()/1000000,"")</f>
        <v>20.000050</v>
      </c>
    </row>
    <row r="51" ht="15.75" customHeight="1">
      <c r="A51" s="15" t="s">
        <v>364</v>
      </c>
      <c r="B51" s="15" t="s">
        <v>365</v>
      </c>
      <c r="C51" s="15" t="s">
        <v>366</v>
      </c>
      <c r="J51" s="25" t="str">
        <f>IF(AND(OR($B$4="Todos",'B̳ases'!$C40=$B$4),OR($B$5="Todos",'B̳ases'!$G40=$C$5),OR($B$6="Todos",'B̳ases'!$E40=$C$6)),'B̳ases'!$M40+ROW()/1000000,"")</f>
        <v>4.000051</v>
      </c>
    </row>
    <row r="52" ht="15.75" customHeight="1">
      <c r="A52" s="16" t="s">
        <v>367</v>
      </c>
      <c r="B52" s="21" t="str">
        <f>SUMIFS('B̳ases'!$M$2:$M$296,'B̳ases'!$C$2:$C$296,$C$4,'B̳ases'!$G$2:$G$296,$C$5,'B̳ases'!$E$2:$E$296,$C$6)</f>
        <v>R$ 7,633</v>
      </c>
      <c r="C52" s="14" t="s">
        <v>368</v>
      </c>
      <c r="J52" s="25" t="str">
        <f>IF(AND(OR($B$4="Todos",'B̳ases'!$C41=$B$4),OR($B$5="Todos",'B̳ases'!$G41=$C$5),OR($B$6="Todos",'B̳ases'!$E41=$C$6)),'B̳ases'!$M41+ROW()/1000000,"")</f>
        <v>50.000052</v>
      </c>
    </row>
    <row r="53" ht="15.75" customHeight="1">
      <c r="A53" s="16" t="s">
        <v>332</v>
      </c>
      <c r="B53" s="22" t="str">
        <f>COUNTIFS('B̳ases'!$C$2:$C$296,$C$4,'B̳ases'!$G$2:$G$296,$C$5,'B̳ases'!$E$2:$E$296,$C$6)</f>
        <v>295</v>
      </c>
      <c r="C53" s="14" t="s">
        <v>369</v>
      </c>
      <c r="J53" s="25" t="str">
        <f>IF(AND(OR($B$4="Todos",'B̳ases'!$C42=$B$4),OR($B$5="Todos",'B̳ases'!$G42=$C$5),OR($B$6="Todos",'B̳ases'!$E42=$C$6)),'B̳ases'!$M42+ROW()/1000000,"")</f>
        <v>25.000053</v>
      </c>
    </row>
    <row r="54" ht="15.75" customHeight="1">
      <c r="A54" s="16" t="s">
        <v>335</v>
      </c>
      <c r="B54" s="24" t="str">
        <f>IFERROR(B52/B53,0)</f>
        <v>R$ 25.87</v>
      </c>
      <c r="C54" s="14" t="s">
        <v>370</v>
      </c>
      <c r="J54" s="25" t="str">
        <f>IF(AND(OR($B$4="Todos",'B̳ases'!$C43=$B$4),OR($B$5="Todos",'B̳ases'!$G43=$C$5),OR($B$6="Todos",'B̳ases'!$E43=$C$6)),'B̳ases'!$M43+ROW()/1000000,"")</f>
        <v>5.000054</v>
      </c>
    </row>
    <row r="55" ht="15.75" customHeight="1">
      <c r="A55" s="16" t="s">
        <v>371</v>
      </c>
      <c r="B55" s="21" t="str">
        <f>SUMIFS('B̳ases'!$L$2:$L$296,'B̳ases'!$C$2:$C$296,$C$4,'B̳ases'!$G$2:$G$296,$C$5,'B̳ases'!$E$2:$E$296,$C$6)</f>
        <v>R$ 2,122</v>
      </c>
      <c r="C55" s="14" t="s">
        <v>372</v>
      </c>
      <c r="J55" s="25" t="str">
        <f>IF(AND(OR($B$4="Todos",'B̳ases'!$C44=$B$4),OR($B$5="Todos",'B̳ases'!$G44=$C$5),OR($B$6="Todos",'B̳ases'!$E44=$C$6)),'B̳ases'!$M44+ROW()/1000000,"")</f>
        <v>45.000055</v>
      </c>
    </row>
    <row r="56" ht="15.75" customHeight="1">
      <c r="A56" s="16" t="s">
        <v>373</v>
      </c>
      <c r="B56" s="23" t="str">
        <f>IFERROR(B55/(B52+B55),0)</f>
        <v>21.8%</v>
      </c>
      <c r="C56" s="14" t="s">
        <v>374</v>
      </c>
      <c r="J56" s="25" t="str">
        <f>IF(AND(OR($B$4="Todos",'B̳ases'!$C45=$B$4),OR($B$5="Todos",'B̳ases'!$G45=$C$5),OR($B$6="Todos",'B̳ases'!$E45=$C$6)),'B̳ases'!$M45+ROW()/1000000,"")</f>
        <v>18.000056</v>
      </c>
    </row>
    <row r="57" ht="15.75" customHeight="1">
      <c r="A57" s="16" t="s">
        <v>375</v>
      </c>
      <c r="B57" s="23" t="str">
        <f>IFERROR(COUNTIFS('B̳ases'!$C$2:$C$296,$C$4,'B̳ases'!$G$2:$G$296,$C$5,'B̳ases'!$E$2:$E$296,$C$6,'B̳ases'!$E$2:$E$296,"Yes")/B53,0)</f>
        <v>50.2%</v>
      </c>
      <c r="C57" s="14" t="s">
        <v>376</v>
      </c>
      <c r="J57" s="25" t="str">
        <f>IF(AND(OR($B$4="Todos",'B̳ases'!$C46=$B$4),OR($B$5="Todos",'B̳ases'!$G46=$C$5),OR($B$6="Todos",'B̳ases'!$E46=$C$6)),'B̳ases'!$M46+ROW()/1000000,"")</f>
        <v>3.000057</v>
      </c>
    </row>
    <row r="58" ht="15.75" customHeight="1">
      <c r="A58" s="16" t="s">
        <v>377</v>
      </c>
      <c r="B58" s="22" t="str">
        <f>COUNTIFS('B̳ases'!$C$2:$C$296,$C$4,'B̳ases'!$G$2:$G$296,$C$5,'B̳ases'!$E$2:$E$296,"No")</f>
        <v>147</v>
      </c>
      <c r="C58" s="14" t="s">
        <v>378</v>
      </c>
      <c r="J58" s="25" t="str">
        <f>IF(AND(OR($B$4="Todos",'B̳ases'!$C47=$B$4),OR($B$5="Todos",'B̳ases'!$G47=$C$5),OR($B$6="Todos",'B̳ases'!$E47=$C$6)),'B̳ases'!$M47+ROW()/1000000,"")</f>
        <v>60.000058</v>
      </c>
    </row>
    <row r="59" ht="15.75" customHeight="1">
      <c r="A59" s="16" t="s">
        <v>379</v>
      </c>
      <c r="B59" s="21" t="str">
        <f>SUMIFS('B̳ases'!$M$2:$M$296,'B̳ases'!$C$2:$C$296,$C$4,'B̳ases'!$G$2:$G$296,$C$5,'B̳ases'!$E$2:$E$296,"No")</f>
        <v>R$ 3,847</v>
      </c>
      <c r="C59" s="14" t="s">
        <v>378</v>
      </c>
      <c r="J59" s="25" t="str">
        <f>IF(AND(OR($B$4="Todos",'B̳ases'!$C48=$B$4),OR($B$5="Todos",'B̳ases'!$G48=$C$5),OR($B$6="Todos",'B̳ases'!$E48=$C$6)),'B̳ases'!$M48+ROW()/1000000,"")</f>
        <v>20.000059</v>
      </c>
    </row>
    <row r="60" ht="15.75" customHeight="1">
      <c r="A60" s="16" t="s">
        <v>380</v>
      </c>
      <c r="B60" s="22" t="str">
        <f>COUNTIFS('B̳ases'!$C$2:$C$296,$C$4,'B̳ases'!$G$2:$G$296,"Monthly",'B̳ases'!$E$2:$E$296,$C$6)</f>
        <v>139</v>
      </c>
      <c r="C60" s="14" t="s">
        <v>381</v>
      </c>
      <c r="J60" s="25" t="str">
        <f>IF(AND(OR($B$4="Todos",'B̳ases'!$C49=$B$4),OR($B$5="Todos",'B̳ases'!$G49=$C$5),OR($B$6="Todos",'B̳ases'!$E49=$C$6)),'B̳ases'!$M49+ROW()/1000000,"")</f>
        <v>5.000060</v>
      </c>
    </row>
    <row r="61" ht="15.75" customHeight="1">
      <c r="A61" s="16" t="s">
        <v>382</v>
      </c>
      <c r="B61" s="21" t="str">
        <f>SUMIFS('B̳ases'!$M$2:$M$296,'B̳ases'!$C$2:$C$296,$C$4,'B̳ases'!$G$2:$G$296,"Monthly",'B̳ases'!$E$2:$E$296,$C$6)</f>
        <v>R$ 3,571</v>
      </c>
      <c r="C61" s="14" t="s">
        <v>381</v>
      </c>
      <c r="J61" s="25" t="str">
        <f>IF(AND(OR($B$4="Todos",'B̳ases'!$C50=$B$4),OR($B$5="Todos",'B̳ases'!$G50=$C$5),OR($B$6="Todos",'B̳ases'!$E50=$C$6)),'B̳ases'!$M50+ROW()/1000000,"")</f>
        <v>62.000061</v>
      </c>
    </row>
    <row r="62" ht="15.75" customHeight="1">
      <c r="J62" s="25" t="str">
        <f>IF(AND(OR($B$4="Todos",'B̳ases'!$C51=$B$4),OR($B$5="Todos",'B̳ases'!$G51=$C$5),OR($B$6="Todos",'B̳ases'!$E51=$C$6)),'B̳ases'!$M51+ROW()/1000000,"")</f>
        <v>15.000062</v>
      </c>
    </row>
    <row r="63" ht="15.75" customHeight="1">
      <c r="A63" s="19" t="s">
        <v>383</v>
      </c>
      <c r="J63" s="25" t="str">
        <f>IF(AND(OR($B$4="Todos",'B̳ases'!$C52=$B$4),OR($B$5="Todos",'B̳ases'!$G52=$C$5),OR($B$6="Todos",'B̳ases'!$E52=$C$6)),'B̳ases'!$M52+ROW()/1000000,"")</f>
        <v>4.000063</v>
      </c>
    </row>
    <row r="64" ht="15.75" customHeight="1">
      <c r="A64" s="14" t="s">
        <v>319</v>
      </c>
      <c r="B64" s="33" t="s">
        <v>27</v>
      </c>
      <c r="C64" s="33" t="s">
        <v>35</v>
      </c>
      <c r="D64" s="33" t="s">
        <v>31</v>
      </c>
      <c r="J64" s="25" t="str">
        <f>IF(AND(OR($B$4="Todos",'B̳ases'!$C53=$B$4),OR($B$5="Todos",'B̳ases'!$G53=$C$5),OR($B$6="Todos",'B̳ases'!$E53=$C$6)),'B̳ases'!$M53+ROW()/1000000,"")</f>
        <v>58.000064</v>
      </c>
    </row>
    <row r="65" ht="15.75" customHeight="1">
      <c r="A65" s="15" t="s">
        <v>320</v>
      </c>
      <c r="B65" s="15" t="s">
        <v>321</v>
      </c>
      <c r="C65" s="15" t="s">
        <v>323</v>
      </c>
      <c r="D65" s="15" t="s">
        <v>325</v>
      </c>
      <c r="E65" s="15" t="s">
        <v>338</v>
      </c>
      <c r="J65" s="25" t="str">
        <f>IF(AND(OR($B$4="Todos",'B̳ases'!$C54=$B$4),OR($B$5="Todos",'B̳ases'!$G54=$C$5),OR($B$6="Todos",'B̳ases'!$E54=$C$6)),'B̳ases'!$M54+ROW()/1000000,"")</f>
        <v>20.000065</v>
      </c>
    </row>
    <row r="66" ht="15.75" customHeight="1">
      <c r="A66" s="17" t="s">
        <v>29</v>
      </c>
      <c r="B66" s="21" t="str">
        <f>SUMIFS('B̳ases'!$M$2:$M$296,'B̳ases'!$C$2:$C$296,$A66,'B̳ases'!$G$2:$G$296,B$64,'B̳ases'!$E$2:$E$296,$C$6)</f>
        <v>R$ 192</v>
      </c>
      <c r="C66" s="21" t="str">
        <f>SUMIFS('B̳ases'!$M$2:$M$296,'B̳ases'!$C$2:$C$296,$A66,'B̳ases'!$G$2:$G$296,C$64,'B̳ases'!$E$2:$E$296,$C$6)</f>
        <v>R$ 132</v>
      </c>
      <c r="D66" s="21" t="str">
        <f>SUMIFS('B̳ases'!$M$2:$M$296,'B̳ases'!$C$2:$C$296,$A66,'B̳ases'!$G$2:$G$296,D$64,'B̳ases'!$E$2:$E$296,$C$6)</f>
        <v>R$ 120</v>
      </c>
      <c r="E66" s="27" t="str">
        <f t="shared" ref="E66:E68" si="4">SUM(B66:D66)</f>
        <v>R$ 444</v>
      </c>
      <c r="J66" s="25" t="str">
        <f>IF(AND(OR($B$4="Todos",'B̳ases'!$C55=$B$4),OR($B$5="Todos",'B̳ases'!$G55=$C$5),OR($B$6="Todos",'B̳ases'!$E55=$C$6)),'B̳ases'!$M55+ROW()/1000000,"")</f>
        <v>5.000066</v>
      </c>
    </row>
    <row r="67" ht="15.75" customHeight="1">
      <c r="A67" s="17" t="s">
        <v>34</v>
      </c>
      <c r="B67" s="21" t="str">
        <f>SUMIFS('B̳ases'!$M$2:$M$296,'B̳ases'!$C$2:$C$296,$A67,'B̳ases'!$G$2:$G$296,B$64,'B̳ases'!$E$2:$E$296,$C$6)</f>
        <v>R$ 958</v>
      </c>
      <c r="C67" s="21" t="str">
        <f>SUMIFS('B̳ases'!$M$2:$M$296,'B̳ases'!$C$2:$C$296,$A67,'B̳ases'!$G$2:$G$296,C$64,'B̳ases'!$E$2:$E$296,$C$6)</f>
        <v>R$ 395</v>
      </c>
      <c r="D67" s="21" t="str">
        <f>SUMIFS('B̳ases'!$M$2:$M$296,'B̳ases'!$C$2:$C$296,$A67,'B̳ases'!$G$2:$G$296,D$64,'B̳ases'!$E$2:$E$296,$C$6)</f>
        <v>R$ 448</v>
      </c>
      <c r="E67" s="27" t="str">
        <f t="shared" si="4"/>
        <v>R$ 1,801</v>
      </c>
      <c r="J67" s="25" t="str">
        <f>IF(AND(OR($B$4="Todos",'B̳ases'!$C56=$B$4),OR($B$5="Todos",'B̳ases'!$G56=$C$5),OR($B$6="Todos",'B̳ases'!$E56=$C$6)),'B̳ases'!$M56+ROW()/1000000,"")</f>
        <v>45.000067</v>
      </c>
    </row>
    <row r="68" ht="15.75" customHeight="1">
      <c r="A68" s="17" t="s">
        <v>25</v>
      </c>
      <c r="B68" s="21" t="str">
        <f>SUMIFS('B̳ases'!$M$2:$M$296,'B̳ases'!$C$2:$C$296,$A68,'B̳ases'!$G$2:$G$296,B$64,'B̳ases'!$E$2:$E$296,$C$6)</f>
        <v>R$ 2,421</v>
      </c>
      <c r="C68" s="21" t="str">
        <f>SUMIFS('B̳ases'!$M$2:$M$296,'B̳ases'!$C$2:$C$296,$A68,'B̳ases'!$G$2:$G$296,C$64,'B̳ases'!$E$2:$E$296,$C$6)</f>
        <v>R$ 1,781</v>
      </c>
      <c r="D68" s="21" t="str">
        <f>SUMIFS('B̳ases'!$M$2:$M$296,'B̳ases'!$C$2:$C$296,$A68,'B̳ases'!$G$2:$G$296,D$64,'B̳ases'!$E$2:$E$296,$C$6)</f>
        <v>R$ 1,186</v>
      </c>
      <c r="E68" s="27" t="str">
        <f t="shared" si="4"/>
        <v>R$ 5,388</v>
      </c>
      <c r="J68" s="25" t="str">
        <f>IF(AND(OR($B$4="Todos",'B̳ases'!$C57=$B$4),OR($B$5="Todos",'B̳ases'!$G57=$C$5),OR($B$6="Todos",'B̳ases'!$E57=$C$6)),'B̳ases'!$M57+ROW()/1000000,"")</f>
        <v>15.000068</v>
      </c>
    </row>
    <row r="69" ht="15.75" customHeight="1">
      <c r="A69" s="26" t="s">
        <v>338</v>
      </c>
      <c r="B69" s="27" t="str">
        <f t="shared" ref="B69:E69" si="5">SUM(B66:B68)</f>
        <v>R$ 3,571</v>
      </c>
      <c r="C69" s="27" t="str">
        <f t="shared" si="5"/>
        <v>R$ 2,308</v>
      </c>
      <c r="D69" s="27" t="str">
        <f t="shared" si="5"/>
        <v>R$ 1,754</v>
      </c>
      <c r="E69" s="27" t="str">
        <f t="shared" si="5"/>
        <v>R$ 7,633</v>
      </c>
      <c r="J69" s="25" t="str">
        <f>IF(AND(OR($B$4="Todos",'B̳ases'!$C58=$B$4),OR($B$5="Todos",'B̳ases'!$G58=$C$5),OR($B$6="Todos",'B̳ases'!$E58=$C$6)),'B̳ases'!$M58+ROW()/1000000,"")</f>
        <v>4.000069</v>
      </c>
    </row>
    <row r="70" ht="15.75" customHeight="1">
      <c r="J70" s="25" t="str">
        <f>IF(AND(OR($B$4="Todos",'B̳ases'!$C59=$B$4),OR($B$5="Todos",'B̳ases'!$G59=$C$5),OR($B$6="Todos",'B̳ases'!$E59=$C$6)),'B̳ases'!$M59+ROW()/1000000,"")</f>
        <v>62.000070</v>
      </c>
    </row>
    <row r="71" ht="15.75" customHeight="1">
      <c r="A71" s="19" t="s">
        <v>384</v>
      </c>
      <c r="J71" s="25" t="str">
        <f>IF(AND(OR($B$4="Todos",'B̳ases'!$C60=$B$4),OR($B$5="Todos",'B̳ases'!$G60=$C$5),OR($B$6="Todos",'B̳ases'!$E60=$C$6)),'B̳ases'!$M60+ROW()/1000000,"")</f>
        <v>20.000071</v>
      </c>
    </row>
    <row r="72" ht="15.75" customHeight="1">
      <c r="A72" s="15" t="s">
        <v>385</v>
      </c>
      <c r="B72" s="15" t="s">
        <v>386</v>
      </c>
      <c r="C72" s="15" t="s">
        <v>387</v>
      </c>
      <c r="D72" s="15" t="s">
        <v>388</v>
      </c>
      <c r="E72" s="15" t="s">
        <v>320</v>
      </c>
      <c r="F72" s="15" t="s">
        <v>356</v>
      </c>
      <c r="G72" s="15" t="s">
        <v>365</v>
      </c>
      <c r="J72" s="25" t="str">
        <f>IF(AND(OR($B$4="Todos",'B̳ases'!$C61=$B$4),OR($B$5="Todos",'B̳ases'!$G61=$C$5),OR($B$6="Todos",'B̳ases'!$E61=$C$6)),'B̳ases'!$M61+ROW()/1000000,"")</f>
        <v>5.000072</v>
      </c>
    </row>
    <row r="73" ht="15.75" customHeight="1">
      <c r="A73" s="16">
        <v>1.0</v>
      </c>
      <c r="B73" s="34" t="str">
        <f t="shared" ref="B73:B82" si="6">IFERROR(LARGE($J$13:$J$307,A73),"")</f>
        <v>62.000305</v>
      </c>
      <c r="C73" s="16" t="str">
        <f t="shared" ref="C73:C82" si="7">IF(B73="","",MATCH(B73,$J$13:$J$307,0))</f>
        <v>293</v>
      </c>
      <c r="D73" s="16" t="str">
        <f t="array" ref="D73">IF(C73="","",INDEX('B̳ases'!$B$2:$B$296,C73))</f>
        <v>Carla Siqueira</v>
      </c>
      <c r="E73" s="16" t="str">
        <f t="array" ref="E73">IF(C73="","",INDEX('B̳ases'!$C$2:$C$296,C73))</f>
        <v>Ultimate</v>
      </c>
      <c r="F73" s="16" t="str">
        <f t="array" ref="F73">IF(C73="","",IFERROR(INDEX($A$34:$A$36,MATCH(INDEX('B̳ases'!$G$2:$G$296,C73),$B$34:$B$36,0)),INDEX('B̳ases'!$G$2:$G$296,C73)))</f>
        <v>Mensal</v>
      </c>
      <c r="G73" s="21" t="str">
        <f t="array" ref="G73">IF(C73="","",INDEX('B̳ases'!$M$2:$M$296,C73))</f>
        <v>R$ 62</v>
      </c>
      <c r="J73" s="25" t="str">
        <f>IF(AND(OR($B$4="Todos",'B̳ases'!$C62=$B$4),OR($B$5="Todos",'B̳ases'!$G62=$C$5),OR($B$6="Todos",'B̳ases'!$E62=$C$6)),'B̳ases'!$M62+ROW()/1000000,"")</f>
        <v>60.000073</v>
      </c>
    </row>
    <row r="74" ht="15.75" customHeight="1">
      <c r="A74" s="16">
        <v>2.0</v>
      </c>
      <c r="B74" s="34" t="str">
        <f t="shared" si="6"/>
        <v>62.000290</v>
      </c>
      <c r="C74" s="16" t="str">
        <f t="shared" si="7"/>
        <v>278</v>
      </c>
      <c r="D74" s="16" t="str">
        <f t="array" ref="D74">IF(C74="","",INDEX('B̳ases'!$B$2:$B$296,C74))</f>
        <v>Natália Castro</v>
      </c>
      <c r="E74" s="16" t="str">
        <f t="array" ref="E74">IF(C74="","",INDEX('B̳ases'!$C$2:$C$296,C74))</f>
        <v>Ultimate</v>
      </c>
      <c r="F74" s="16" t="str">
        <f t="array" ref="F74">IF(C74="","",IFERROR(INDEX($A$34:$A$36,MATCH(INDEX('B̳ases'!$G$2:$G$296,C74),$B$34:$B$36,0)),INDEX('B̳ases'!$G$2:$G$296,C74)))</f>
        <v>Anual</v>
      </c>
      <c r="G74" s="21" t="str">
        <f t="array" ref="G74">IF(C74="","",INDEX('B̳ases'!$M$2:$M$296,C74))</f>
        <v>R$ 62</v>
      </c>
      <c r="J74" s="25" t="str">
        <f>IF(AND(OR($B$4="Todos",'B̳ases'!$C63=$B$4),OR($B$5="Todos",'B̳ases'!$G63=$C$5),OR($B$6="Todos",'B̳ases'!$E63=$C$6)),'B̳ases'!$M63+ROW()/1000000,"")</f>
        <v>15.000074</v>
      </c>
    </row>
    <row r="75" ht="15.75" customHeight="1">
      <c r="A75" s="16">
        <v>3.0</v>
      </c>
      <c r="B75" s="34" t="str">
        <f t="shared" si="6"/>
        <v>62.000281</v>
      </c>
      <c r="C75" s="16" t="str">
        <f t="shared" si="7"/>
        <v>269</v>
      </c>
      <c r="D75" s="16" t="str">
        <f t="array" ref="D75">IF(C75="","",INDEX('B̳ases'!$B$2:$B$296,C75))</f>
        <v>Elisa Correia</v>
      </c>
      <c r="E75" s="16" t="str">
        <f t="array" ref="E75">IF(C75="","",INDEX('B̳ases'!$C$2:$C$296,C75))</f>
        <v>Ultimate</v>
      </c>
      <c r="F75" s="16" t="str">
        <f t="array" ref="F75">IF(C75="","",IFERROR(INDEX($A$34:$A$36,MATCH(INDEX('B̳ases'!$G$2:$G$296,C75),$B$34:$B$36,0)),INDEX('B̳ases'!$G$2:$G$296,C75)))</f>
        <v>Mensal</v>
      </c>
      <c r="G75" s="21" t="str">
        <f t="array" ref="G75">IF(C75="","",INDEX('B̳ases'!$M$2:$M$296,C75))</f>
        <v>R$ 62</v>
      </c>
      <c r="J75" s="25" t="str">
        <f>IF(AND(OR($B$4="Todos",'B̳ases'!$C64=$B$4),OR($B$5="Todos",'B̳ases'!$G64=$C$5),OR($B$6="Todos",'B̳ases'!$E64=$C$6)),'B̳ases'!$M64+ROW()/1000000,"")</f>
        <v>4.000075</v>
      </c>
    </row>
    <row r="76" ht="15.75" customHeight="1">
      <c r="A76" s="16">
        <v>4.0</v>
      </c>
      <c r="B76" s="34" t="str">
        <f t="shared" si="6"/>
        <v>62.000264</v>
      </c>
      <c r="C76" s="16" t="str">
        <f t="shared" si="7"/>
        <v>252</v>
      </c>
      <c r="D76" s="16" t="str">
        <f t="array" ref="D76">IF(C76="","",INDEX('B̳ases'!$B$2:$B$296,C76))</f>
        <v>Natália Soares</v>
      </c>
      <c r="E76" s="16" t="str">
        <f t="array" ref="E76">IF(C76="","",INDEX('B̳ases'!$C$2:$C$296,C76))</f>
        <v>Ultimate</v>
      </c>
      <c r="F76" s="16" t="str">
        <f t="array" ref="F76">IF(C76="","",IFERROR(INDEX($A$34:$A$36,MATCH(INDEX('B̳ases'!$G$2:$G$296,C76),$B$34:$B$36,0)),INDEX('B̳ases'!$G$2:$G$296,C76)))</f>
        <v>Anual</v>
      </c>
      <c r="G76" s="21" t="str">
        <f t="array" ref="G76">IF(C76="","",INDEX('B̳ases'!$M$2:$M$296,C76))</f>
        <v>R$ 62</v>
      </c>
      <c r="J76" s="25" t="str">
        <f>IF(AND(OR($B$4="Todos",'B̳ases'!$C65=$B$4),OR($B$5="Todos",'B̳ases'!$G65=$C$5),OR($B$6="Todos",'B̳ases'!$E65=$C$6)),'B̳ases'!$M65+ROW()/1000000,"")</f>
        <v>45.000076</v>
      </c>
    </row>
    <row r="77" ht="15.75" customHeight="1">
      <c r="A77" s="16">
        <v>5.0</v>
      </c>
      <c r="B77" s="34" t="str">
        <f t="shared" si="6"/>
        <v>62.000255</v>
      </c>
      <c r="C77" s="16" t="str">
        <f t="shared" si="7"/>
        <v>243</v>
      </c>
      <c r="D77" s="16" t="str">
        <f t="array" ref="D77">IF(C77="","",INDEX('B̳ases'!$B$2:$B$296,C77))</f>
        <v>Elisa Neves</v>
      </c>
      <c r="E77" s="16" t="str">
        <f t="array" ref="E77">IF(C77="","",INDEX('B̳ases'!$C$2:$C$296,C77))</f>
        <v>Ultimate</v>
      </c>
      <c r="F77" s="16" t="str">
        <f t="array" ref="F77">IF(C77="","",IFERROR(INDEX($A$34:$A$36,MATCH(INDEX('B̳ases'!$G$2:$G$296,C77),$B$34:$B$36,0)),INDEX('B̳ases'!$G$2:$G$296,C77)))</f>
        <v>Mensal</v>
      </c>
      <c r="G77" s="21" t="str">
        <f t="array" ref="G77">IF(C77="","",INDEX('B̳ases'!$M$2:$M$296,C77))</f>
        <v>R$ 62</v>
      </c>
      <c r="J77" s="25" t="str">
        <f>IF(AND(OR($B$4="Todos",'B̳ases'!$C66=$B$4),OR($B$5="Todos",'B̳ases'!$G66=$C$5),OR($B$6="Todos",'B̳ases'!$E66=$C$6)),'B̳ases'!$M66+ROW()/1000000,"")</f>
        <v>25.000077</v>
      </c>
    </row>
    <row r="78" ht="15.75" customHeight="1">
      <c r="A78" s="16">
        <v>6.0</v>
      </c>
      <c r="B78" s="34" t="str">
        <f t="shared" si="6"/>
        <v>62.000240</v>
      </c>
      <c r="C78" s="16" t="str">
        <f t="shared" si="7"/>
        <v>228</v>
      </c>
      <c r="D78" s="16" t="str">
        <f t="array" ref="D78">IF(C78="","",INDEX('B̳ases'!$B$2:$B$296,C78))</f>
        <v>Patrícia Leite</v>
      </c>
      <c r="E78" s="16" t="str">
        <f t="array" ref="E78">IF(C78="","",INDEX('B̳ases'!$C$2:$C$296,C78))</f>
        <v>Ultimate</v>
      </c>
      <c r="F78" s="16" t="str">
        <f t="array" ref="F78">IF(C78="","",IFERROR(INDEX($A$34:$A$36,MATCH(INDEX('B̳ases'!$G$2:$G$296,C78),$B$34:$B$36,0)),INDEX('B̳ases'!$G$2:$G$296,C78)))</f>
        <v>Anual</v>
      </c>
      <c r="G78" s="21" t="str">
        <f t="array" ref="G78">IF(C78="","",INDEX('B̳ases'!$M$2:$M$296,C78))</f>
        <v>R$ 62</v>
      </c>
      <c r="J78" s="25" t="str">
        <f>IF(AND(OR($B$4="Todos",'B̳ases'!$C67=$B$4),OR($B$5="Todos",'B̳ases'!$G67=$C$5),OR($B$6="Todos",'B̳ases'!$E67=$C$6)),'B̳ases'!$M67+ROW()/1000000,"")</f>
        <v>5.000078</v>
      </c>
    </row>
    <row r="79" ht="15.75" customHeight="1">
      <c r="A79" s="16">
        <v>7.0</v>
      </c>
      <c r="B79" s="34" t="str">
        <f t="shared" si="6"/>
        <v>62.000231</v>
      </c>
      <c r="C79" s="16" t="str">
        <f t="shared" si="7"/>
        <v>219</v>
      </c>
      <c r="D79" s="16" t="str">
        <f t="array" ref="D79">IF(C79="","",INDEX('B̳ases'!$B$2:$B$296,C79))</f>
        <v>Gabriel Santos</v>
      </c>
      <c r="E79" s="16" t="str">
        <f t="array" ref="E79">IF(C79="","",INDEX('B̳ases'!$C$2:$C$296,C79))</f>
        <v>Ultimate</v>
      </c>
      <c r="F79" s="16" t="str">
        <f t="array" ref="F79">IF(C79="","",IFERROR(INDEX($A$34:$A$36,MATCH(INDEX('B̳ases'!$G$2:$G$296,C79),$B$34:$B$36,0)),INDEX('B̳ases'!$G$2:$G$296,C79)))</f>
        <v>Mensal</v>
      </c>
      <c r="G79" s="21" t="str">
        <f t="array" ref="G79">IF(C79="","",INDEX('B̳ases'!$M$2:$M$296,C79))</f>
        <v>R$ 62</v>
      </c>
      <c r="J79" s="25" t="str">
        <f>IF(AND(OR($B$4="Todos",'B̳ases'!$C68=$B$4),OR($B$5="Todos",'B̳ases'!$G68=$C$5),OR($B$6="Todos",'B̳ases'!$E68=$C$6)),'B̳ases'!$M68+ROW()/1000000,"")</f>
        <v>58.000079</v>
      </c>
    </row>
    <row r="80" ht="15.75" customHeight="1">
      <c r="A80" s="16">
        <v>8.0</v>
      </c>
      <c r="B80" s="34" t="str">
        <f t="shared" si="6"/>
        <v>62.000210</v>
      </c>
      <c r="C80" s="16" t="str">
        <f t="shared" si="7"/>
        <v>198</v>
      </c>
      <c r="D80" s="16" t="str">
        <f t="array" ref="D80">IF(C80="","",INDEX('B̳ases'!$B$2:$B$296,C80))</f>
        <v>Joana Silveira</v>
      </c>
      <c r="E80" s="16" t="str">
        <f t="array" ref="E80">IF(C80="","",INDEX('B̳ases'!$C$2:$C$296,C80))</f>
        <v>Ultimate</v>
      </c>
      <c r="F80" s="16" t="str">
        <f t="array" ref="F80">IF(C80="","",IFERROR(INDEX($A$34:$A$36,MATCH(INDEX('B̳ases'!$G$2:$G$296,C80),$B$34:$B$36,0)),INDEX('B̳ases'!$G$2:$G$296,C80)))</f>
        <v>Anual</v>
      </c>
      <c r="G80" s="21" t="str">
        <f t="array" ref="G80">IF(C80="","",INDEX('B̳ases'!$M$2:$M$296,C80))</f>
        <v>R$ 62</v>
      </c>
      <c r="J80" s="25" t="str">
        <f>IF(AND(OR($B$4="Todos",'B̳ases'!$C69=$B$4),OR($B$5="Todos",'B̳ases'!$G69=$C$5),OR($B$6="Todos",'B̳ases'!$E69=$C$6)),'B̳ases'!$M69+ROW()/1000000,"")</f>
        <v>20.000080</v>
      </c>
    </row>
    <row r="81" ht="15.75" customHeight="1">
      <c r="A81" s="16">
        <v>9.0</v>
      </c>
      <c r="B81" s="34" t="str">
        <f t="shared" si="6"/>
        <v>62.000201</v>
      </c>
      <c r="C81" s="16" t="str">
        <f t="shared" si="7"/>
        <v>189</v>
      </c>
      <c r="D81" s="16" t="str">
        <f t="array" ref="D81">IF(C81="","",INDEX('B̳ases'!$B$2:$B$296,C81))</f>
        <v>André Lopes</v>
      </c>
      <c r="E81" s="16" t="str">
        <f t="array" ref="E81">IF(C81="","",INDEX('B̳ases'!$C$2:$C$296,C81))</f>
        <v>Ultimate</v>
      </c>
      <c r="F81" s="16" t="str">
        <f t="array" ref="F81">IF(C81="","",IFERROR(INDEX($A$34:$A$36,MATCH(INDEX('B̳ases'!$G$2:$G$296,C81),$B$34:$B$36,0)),INDEX('B̳ases'!$G$2:$G$296,C81)))</f>
        <v>Mensal</v>
      </c>
      <c r="G81" s="21" t="str">
        <f t="array" ref="G81">IF(C81="","",INDEX('B̳ases'!$M$2:$M$296,C81))</f>
        <v>R$ 62</v>
      </c>
      <c r="J81" s="25" t="str">
        <f>IF(AND(OR($B$4="Todos",'B̳ases'!$C70=$B$4),OR($B$5="Todos",'B̳ases'!$G70=$C$5),OR($B$6="Todos",'B̳ases'!$E70=$C$6)),'B̳ases'!$M70+ROW()/1000000,"")</f>
        <v>4.000081</v>
      </c>
    </row>
    <row r="82" ht="15.75" customHeight="1">
      <c r="A82" s="16">
        <v>10.0</v>
      </c>
      <c r="B82" s="34" t="str">
        <f t="shared" si="6"/>
        <v>62.000185</v>
      </c>
      <c r="C82" s="16" t="str">
        <f t="shared" si="7"/>
        <v>173</v>
      </c>
      <c r="D82" s="16" t="str">
        <f t="array" ref="D82">IF(C82="","",INDEX('B̳ases'!$B$2:$B$296,C82))</f>
        <v>João Carvalho</v>
      </c>
      <c r="E82" s="16" t="str">
        <f t="array" ref="E82">IF(C82="","",INDEX('B̳ases'!$C$2:$C$296,C82))</f>
        <v>Ultimate</v>
      </c>
      <c r="F82" s="16" t="str">
        <f t="array" ref="F82">IF(C82="","",IFERROR(INDEX($A$34:$A$36,MATCH(INDEX('B̳ases'!$G$2:$G$296,C82),$B$34:$B$36,0)),INDEX('B̳ases'!$G$2:$G$296,C82)))</f>
        <v>Mensal</v>
      </c>
      <c r="G82" s="21" t="str">
        <f t="array" ref="G82">IF(C82="","",INDEX('B̳ases'!$M$2:$M$296,C82))</f>
        <v>R$ 62</v>
      </c>
      <c r="J82" s="25" t="str">
        <f>IF(AND(OR($B$4="Todos",'B̳ases'!$C71=$B$4),OR($B$5="Todos",'B̳ases'!$G71=$C$5),OR($B$6="Todos",'B̳ases'!$E71=$C$6)),'B̳ases'!$M71+ROW()/1000000,"")</f>
        <v>50.000082</v>
      </c>
    </row>
    <row r="83" ht="15.75" customHeight="1">
      <c r="J83" s="25" t="str">
        <f>IF(AND(OR($B$4="Todos",'B̳ases'!$C72=$B$4),OR($B$5="Todos",'B̳ases'!$G72=$C$5),OR($B$6="Todos",'B̳ases'!$E72=$C$6)),'B̳ases'!$M72+ROW()/1000000,"")</f>
        <v>25.000083</v>
      </c>
    </row>
    <row r="84" ht="15.75" customHeight="1">
      <c r="J84" s="25" t="str">
        <f>IF(AND(OR($B$4="Todos",'B̳ases'!$C73=$B$4),OR($B$5="Todos",'B̳ases'!$G73=$C$5),OR($B$6="Todos",'B̳ases'!$E73=$C$6)),'B̳ases'!$M73+ROW()/1000000,"")</f>
        <v>5.000084</v>
      </c>
    </row>
    <row r="85" ht="15.75" customHeight="1">
      <c r="J85" s="25" t="str">
        <f>IF(AND(OR($B$4="Todos",'B̳ases'!$C74=$B$4),OR($B$5="Todos",'B̳ases'!$G74=$C$5),OR($B$6="Todos",'B̳ases'!$E74=$C$6)),'B̳ases'!$M74+ROW()/1000000,"")</f>
        <v>45.000085</v>
      </c>
    </row>
    <row r="86" ht="15.75" customHeight="1">
      <c r="J86" s="25" t="str">
        <f>IF(AND(OR($B$4="Todos",'B̳ases'!$C75=$B$4),OR($B$5="Todos",'B̳ases'!$G75=$C$5),OR($B$6="Todos",'B̳ases'!$E75=$C$6)),'B̳ases'!$M75+ROW()/1000000,"")</f>
        <v>18.000086</v>
      </c>
    </row>
    <row r="87" ht="15.75" customHeight="1">
      <c r="J87" s="25" t="str">
        <f>IF(AND(OR($B$4="Todos",'B̳ases'!$C76=$B$4),OR($B$5="Todos",'B̳ases'!$G76=$C$5),OR($B$6="Todos",'B̳ases'!$E76=$C$6)),'B̳ases'!$M76+ROW()/1000000,"")</f>
        <v>3.000087</v>
      </c>
    </row>
    <row r="88" ht="15.75" customHeight="1">
      <c r="J88" s="25" t="str">
        <f>IF(AND(OR($B$4="Todos",'B̳ases'!$C77=$B$4),OR($B$5="Todos",'B̳ases'!$G77=$C$5),OR($B$6="Todos",'B̳ases'!$E77=$C$6)),'B̳ases'!$M77+ROW()/1000000,"")</f>
        <v>60.000088</v>
      </c>
    </row>
    <row r="89" ht="15.75" customHeight="1">
      <c r="J89" s="25" t="str">
        <f>IF(AND(OR($B$4="Todos",'B̳ases'!$C78=$B$4),OR($B$5="Todos",'B̳ases'!$G78=$C$5),OR($B$6="Todos",'B̳ases'!$E78=$C$6)),'B̳ases'!$M78+ROW()/1000000,"")</f>
        <v>20.000089</v>
      </c>
    </row>
    <row r="90" ht="15.75" customHeight="1">
      <c r="J90" s="25" t="str">
        <f>IF(AND(OR($B$4="Todos",'B̳ases'!$C79=$B$4),OR($B$5="Todos",'B̳ases'!$G79=$C$5),OR($B$6="Todos",'B̳ases'!$E79=$C$6)),'B̳ases'!$M79+ROW()/1000000,"")</f>
        <v>5.000090</v>
      </c>
    </row>
    <row r="91" ht="15.75" customHeight="1">
      <c r="J91" s="25" t="str">
        <f>IF(AND(OR($B$4="Todos",'B̳ases'!$C80=$B$4),OR($B$5="Todos",'B̳ases'!$G80=$C$5),OR($B$6="Todos",'B̳ases'!$E80=$C$6)),'B̳ases'!$M80+ROW()/1000000,"")</f>
        <v>62.000091</v>
      </c>
    </row>
    <row r="92" ht="15.75" customHeight="1">
      <c r="J92" s="25" t="str">
        <f>IF(AND(OR($B$4="Todos",'B̳ases'!$C81=$B$4),OR($B$5="Todos",'B̳ases'!$G81=$C$5),OR($B$6="Todos",'B̳ases'!$E81=$C$6)),'B̳ases'!$M81+ROW()/1000000,"")</f>
        <v>15.000092</v>
      </c>
    </row>
    <row r="93" ht="15.75" customHeight="1">
      <c r="J93" s="25" t="str">
        <f>IF(AND(OR($B$4="Todos",'B̳ases'!$C82=$B$4),OR($B$5="Todos",'B̳ases'!$G82=$C$5),OR($B$6="Todos",'B̳ases'!$E82=$C$6)),'B̳ases'!$M82+ROW()/1000000,"")</f>
        <v>4.000093</v>
      </c>
    </row>
    <row r="94" ht="15.75" customHeight="1">
      <c r="J94" s="25" t="str">
        <f>IF(AND(OR($B$4="Todos",'B̳ases'!$C83=$B$4),OR($B$5="Todos",'B̳ases'!$G83=$C$5),OR($B$6="Todos",'B̳ases'!$E83=$C$6)),'B̳ases'!$M83+ROW()/1000000,"")</f>
        <v>58.000094</v>
      </c>
    </row>
    <row r="95" ht="15.75" customHeight="1">
      <c r="J95" s="25" t="str">
        <f>IF(AND(OR($B$4="Todos",'B̳ases'!$C84=$B$4),OR($B$5="Todos",'B̳ases'!$G84=$C$5),OR($B$6="Todos",'B̳ases'!$E84=$C$6)),'B̳ases'!$M84+ROW()/1000000,"")</f>
        <v>20.000095</v>
      </c>
    </row>
    <row r="96" ht="15.75" customHeight="1">
      <c r="J96" s="25" t="str">
        <f>IF(AND(OR($B$4="Todos",'B̳ases'!$C85=$B$4),OR($B$5="Todos",'B̳ases'!$G85=$C$5),OR($B$6="Todos",'B̳ases'!$E85=$C$6)),'B̳ases'!$M85+ROW()/1000000,"")</f>
        <v>5.000096</v>
      </c>
    </row>
    <row r="97" ht="15.75" customHeight="1">
      <c r="J97" s="25" t="str">
        <f>IF(AND(OR($B$4="Todos",'B̳ases'!$C86=$B$4),OR($B$5="Todos",'B̳ases'!$G86=$C$5),OR($B$6="Todos",'B̳ases'!$E86=$C$6)),'B̳ases'!$M86+ROW()/1000000,"")</f>
        <v>45.000097</v>
      </c>
    </row>
    <row r="98" ht="15.75" customHeight="1">
      <c r="J98" s="25" t="str">
        <f>IF(AND(OR($B$4="Todos",'B̳ases'!$C87=$B$4),OR($B$5="Todos",'B̳ases'!$G87=$C$5),OR($B$6="Todos",'B̳ases'!$E87=$C$6)),'B̳ases'!$M87+ROW()/1000000,"")</f>
        <v>15.000098</v>
      </c>
    </row>
    <row r="99" ht="15.75" customHeight="1">
      <c r="J99" s="25" t="str">
        <f>IF(AND(OR($B$4="Todos",'B̳ases'!$C88=$B$4),OR($B$5="Todos",'B̳ases'!$G88=$C$5),OR($B$6="Todos",'B̳ases'!$E88=$C$6)),'B̳ases'!$M88+ROW()/1000000,"")</f>
        <v>4.000099</v>
      </c>
    </row>
    <row r="100" ht="15.75" customHeight="1">
      <c r="J100" s="25" t="str">
        <f>IF(AND(OR($B$4="Todos",'B̳ases'!$C89=$B$4),OR($B$5="Todos",'B̳ases'!$G89=$C$5),OR($B$6="Todos",'B̳ases'!$E89=$C$6)),'B̳ases'!$M89+ROW()/1000000,"")</f>
        <v>62.000100</v>
      </c>
    </row>
    <row r="101" ht="15.75" customHeight="1">
      <c r="J101" s="25" t="str">
        <f>IF(AND(OR($B$4="Todos",'B̳ases'!$C90=$B$4),OR($B$5="Todos",'B̳ases'!$G90=$C$5),OR($B$6="Todos",'B̳ases'!$E90=$C$6)),'B̳ases'!$M90+ROW()/1000000,"")</f>
        <v>20.000101</v>
      </c>
    </row>
    <row r="102" ht="15.75" customHeight="1">
      <c r="J102" s="25" t="str">
        <f>IF(AND(OR($B$4="Todos",'B̳ases'!$C91=$B$4),OR($B$5="Todos",'B̳ases'!$G91=$C$5),OR($B$6="Todos",'B̳ases'!$E91=$C$6)),'B̳ases'!$M91+ROW()/1000000,"")</f>
        <v>5.000102</v>
      </c>
    </row>
    <row r="103" ht="15.75" customHeight="1">
      <c r="J103" s="25" t="str">
        <f>IF(AND(OR($B$4="Todos",'B̳ases'!$C92=$B$4),OR($B$5="Todos",'B̳ases'!$G92=$C$5),OR($B$6="Todos",'B̳ases'!$E92=$C$6)),'B̳ases'!$M92+ROW()/1000000,"")</f>
        <v>60.000103</v>
      </c>
    </row>
    <row r="104" ht="15.75" customHeight="1">
      <c r="J104" s="25" t="str">
        <f>IF(AND(OR($B$4="Todos",'B̳ases'!$C93=$B$4),OR($B$5="Todos",'B̳ases'!$G93=$C$5),OR($B$6="Todos",'B̳ases'!$E93=$C$6)),'B̳ases'!$M93+ROW()/1000000,"")</f>
        <v>15.000104</v>
      </c>
    </row>
    <row r="105" ht="15.75" customHeight="1">
      <c r="J105" s="25" t="str">
        <f>IF(AND(OR($B$4="Todos",'B̳ases'!$C94=$B$4),OR($B$5="Todos",'B̳ases'!$G94=$C$5),OR($B$6="Todos",'B̳ases'!$E94=$C$6)),'B̳ases'!$M94+ROW()/1000000,"")</f>
        <v>4.000105</v>
      </c>
    </row>
    <row r="106" ht="15.75" customHeight="1">
      <c r="J106" s="25" t="str">
        <f>IF(AND(OR($B$4="Todos",'B̳ases'!$C95=$B$4),OR($B$5="Todos",'B̳ases'!$G95=$C$5),OR($B$6="Todos",'B̳ases'!$E95=$C$6)),'B̳ases'!$M95+ROW()/1000000,"")</f>
        <v>45.000106</v>
      </c>
    </row>
    <row r="107" ht="15.75" customHeight="1">
      <c r="J107" s="25" t="str">
        <f>IF(AND(OR($B$4="Todos",'B̳ases'!$C96=$B$4),OR($B$5="Todos",'B̳ases'!$G96=$C$5),OR($B$6="Todos",'B̳ases'!$E96=$C$6)),'B̳ases'!$M96+ROW()/1000000,"")</f>
        <v>15.000107</v>
      </c>
    </row>
    <row r="108" ht="15.75" customHeight="1">
      <c r="J108" s="25" t="str">
        <f>IF(AND(OR($B$4="Todos",'B̳ases'!$C97=$B$4),OR($B$5="Todos",'B̳ases'!$G97=$C$5),OR($B$6="Todos",'B̳ases'!$E97=$C$6)),'B̳ases'!$M97+ROW()/1000000,"")</f>
        <v>5.000108</v>
      </c>
    </row>
    <row r="109" ht="15.75" customHeight="1">
      <c r="J109" s="25" t="str">
        <f>IF(AND(OR($B$4="Todos",'B̳ases'!$C98=$B$4),OR($B$5="Todos",'B̳ases'!$G98=$C$5),OR($B$6="Todos",'B̳ases'!$E98=$C$6)),'B̳ases'!$M98+ROW()/1000000,"")</f>
        <v>58.000109</v>
      </c>
    </row>
    <row r="110" ht="15.75" customHeight="1">
      <c r="J110" s="25" t="str">
        <f>IF(AND(OR($B$4="Todos",'B̳ases'!$C99=$B$4),OR($B$5="Todos",'B̳ases'!$G99=$C$5),OR($B$6="Todos",'B̳ases'!$E99=$C$6)),'B̳ases'!$M99+ROW()/1000000,"")</f>
        <v>20.000110</v>
      </c>
    </row>
    <row r="111" ht="15.75" customHeight="1">
      <c r="J111" s="25" t="str">
        <f>IF(AND(OR($B$4="Todos",'B̳ases'!$C100=$B$4),OR($B$5="Todos",'B̳ases'!$G100=$C$5),OR($B$6="Todos",'B̳ases'!$E100=$C$6)),'B̳ases'!$M100+ROW()/1000000,"")</f>
        <v>4.000111</v>
      </c>
    </row>
    <row r="112" ht="15.75" customHeight="1">
      <c r="J112" s="25" t="str">
        <f>IF(AND(OR($B$4="Todos",'B̳ases'!$C101=$B$4),OR($B$5="Todos",'B̳ases'!$G101=$C$5),OR($B$6="Todos",'B̳ases'!$E101=$C$6)),'B̳ases'!$M101+ROW()/1000000,"")</f>
        <v>50.000112</v>
      </c>
    </row>
    <row r="113" ht="15.75" customHeight="1">
      <c r="J113" s="25" t="str">
        <f>IF(AND(OR($B$4="Todos",'B̳ases'!$C102=$B$4),OR($B$5="Todos",'B̳ases'!$G102=$C$5),OR($B$6="Todos",'B̳ases'!$E102=$C$6)),'B̳ases'!$M102+ROW()/1000000,"")</f>
        <v>25.000113</v>
      </c>
    </row>
    <row r="114" ht="15.75" customHeight="1">
      <c r="J114" s="25" t="str">
        <f>IF(AND(OR($B$4="Todos",'B̳ases'!$C103=$B$4),OR($B$5="Todos",'B̳ases'!$G103=$C$5),OR($B$6="Todos",'B̳ases'!$E103=$C$6)),'B̳ases'!$M103+ROW()/1000000,"")</f>
        <v>5.000114</v>
      </c>
    </row>
    <row r="115" ht="15.75" customHeight="1">
      <c r="J115" s="25" t="str">
        <f>IF(AND(OR($B$4="Todos",'B̳ases'!$C104=$B$4),OR($B$5="Todos",'B̳ases'!$G104=$C$5),OR($B$6="Todos",'B̳ases'!$E104=$C$6)),'B̳ases'!$M104+ROW()/1000000,"")</f>
        <v>45.000115</v>
      </c>
    </row>
    <row r="116" ht="15.75" customHeight="1">
      <c r="J116" s="25" t="str">
        <f>IF(AND(OR($B$4="Todos",'B̳ases'!$C105=$B$4),OR($B$5="Todos",'B̳ases'!$G105=$C$5),OR($B$6="Todos",'B̳ases'!$E105=$C$6)),'B̳ases'!$M105+ROW()/1000000,"")</f>
        <v>18.000116</v>
      </c>
    </row>
    <row r="117" ht="15.75" customHeight="1">
      <c r="J117" s="25" t="str">
        <f>IF(AND(OR($B$4="Todos",'B̳ases'!$C106=$B$4),OR($B$5="Todos",'B̳ases'!$G106=$C$5),OR($B$6="Todos",'B̳ases'!$E106=$C$6)),'B̳ases'!$M106+ROW()/1000000,"")</f>
        <v>3.000117</v>
      </c>
    </row>
    <row r="118" ht="15.75" customHeight="1">
      <c r="J118" s="25" t="str">
        <f>IF(AND(OR($B$4="Todos",'B̳ases'!$C107=$B$4),OR($B$5="Todos",'B̳ases'!$G107=$C$5),OR($B$6="Todos",'B̳ases'!$E107=$C$6)),'B̳ases'!$M107+ROW()/1000000,"")</f>
        <v>5.000118</v>
      </c>
    </row>
    <row r="119" ht="15.75" customHeight="1">
      <c r="J119" s="25" t="str">
        <f>IF(AND(OR($B$4="Todos",'B̳ases'!$C108=$B$4),OR($B$5="Todos",'B̳ases'!$G108=$C$5),OR($B$6="Todos",'B̳ases'!$E108=$C$6)),'B̳ases'!$M108+ROW()/1000000,"")</f>
        <v>58.000119</v>
      </c>
    </row>
    <row r="120" ht="15.75" customHeight="1">
      <c r="J120" s="25" t="str">
        <f>IF(AND(OR($B$4="Todos",'B̳ases'!$C109=$B$4),OR($B$5="Todos",'B̳ases'!$G109=$C$5),OR($B$6="Todos",'B̳ases'!$E109=$C$6)),'B̳ases'!$M109+ROW()/1000000,"")</f>
        <v>20.000120</v>
      </c>
    </row>
    <row r="121" ht="15.75" customHeight="1">
      <c r="J121" s="25" t="str">
        <f>IF(AND(OR($B$4="Todos",'B̳ases'!$C110=$B$4),OR($B$5="Todos",'B̳ases'!$G110=$C$5),OR($B$6="Todos",'B̳ases'!$E110=$C$6)),'B̳ases'!$M110+ROW()/1000000,"")</f>
        <v>4.000121</v>
      </c>
    </row>
    <row r="122" ht="15.75" customHeight="1">
      <c r="J122" s="25" t="str">
        <f>IF(AND(OR($B$4="Todos",'B̳ases'!$C111=$B$4),OR($B$5="Todos",'B̳ases'!$G111=$C$5),OR($B$6="Todos",'B̳ases'!$E111=$C$6)),'B̳ases'!$M111+ROW()/1000000,"")</f>
        <v>50.000122</v>
      </c>
    </row>
    <row r="123" ht="15.75" customHeight="1">
      <c r="J123" s="25" t="str">
        <f>IF(AND(OR($B$4="Todos",'B̳ases'!$C112=$B$4),OR($B$5="Todos",'B̳ases'!$G112=$C$5),OR($B$6="Todos",'B̳ases'!$E112=$C$6)),'B̳ases'!$M112+ROW()/1000000,"")</f>
        <v>25.000123</v>
      </c>
    </row>
    <row r="124" ht="15.75" customHeight="1">
      <c r="J124" s="25" t="str">
        <f>IF(AND(OR($B$4="Todos",'B̳ases'!$C113=$B$4),OR($B$5="Todos",'B̳ases'!$G113=$C$5),OR($B$6="Todos",'B̳ases'!$E113=$C$6)),'B̳ases'!$M113+ROW()/1000000,"")</f>
        <v>5.000124</v>
      </c>
    </row>
    <row r="125" ht="15.75" customHeight="1">
      <c r="J125" s="25" t="str">
        <f>IF(AND(OR($B$4="Todos",'B̳ases'!$C114=$B$4),OR($B$5="Todos",'B̳ases'!$G114=$C$5),OR($B$6="Todos",'B̳ases'!$E114=$C$6)),'B̳ases'!$M114+ROW()/1000000,"")</f>
        <v>45.000125</v>
      </c>
    </row>
    <row r="126" ht="15.75" customHeight="1">
      <c r="J126" s="25" t="str">
        <f>IF(AND(OR($B$4="Todos",'B̳ases'!$C115=$B$4),OR($B$5="Todos",'B̳ases'!$G115=$C$5),OR($B$6="Todos",'B̳ases'!$E115=$C$6)),'B̳ases'!$M115+ROW()/1000000,"")</f>
        <v>18.000126</v>
      </c>
    </row>
    <row r="127" ht="15.75" customHeight="1">
      <c r="J127" s="25" t="str">
        <f>IF(AND(OR($B$4="Todos",'B̳ases'!$C116=$B$4),OR($B$5="Todos",'B̳ases'!$G116=$C$5),OR($B$6="Todos",'B̳ases'!$E116=$C$6)),'B̳ases'!$M116+ROW()/1000000,"")</f>
        <v>3.000127</v>
      </c>
    </row>
    <row r="128" ht="15.75" customHeight="1">
      <c r="J128" s="25" t="str">
        <f>IF(AND(OR($B$4="Todos",'B̳ases'!$C117=$B$4),OR($B$5="Todos",'B̳ases'!$G117=$C$5),OR($B$6="Todos",'B̳ases'!$E117=$C$6)),'B̳ases'!$M117+ROW()/1000000,"")</f>
        <v>60.000128</v>
      </c>
    </row>
    <row r="129" ht="15.75" customHeight="1">
      <c r="J129" s="25" t="str">
        <f>IF(AND(OR($B$4="Todos",'B̳ases'!$C118=$B$4),OR($B$5="Todos",'B̳ases'!$G118=$C$5),OR($B$6="Todos",'B̳ases'!$E118=$C$6)),'B̳ases'!$M118+ROW()/1000000,"")</f>
        <v>20.000129</v>
      </c>
    </row>
    <row r="130" ht="15.75" customHeight="1">
      <c r="J130" s="25" t="str">
        <f>IF(AND(OR($B$4="Todos",'B̳ases'!$C119=$B$4),OR($B$5="Todos",'B̳ases'!$G119=$C$5),OR($B$6="Todos",'B̳ases'!$E119=$C$6)),'B̳ases'!$M119+ROW()/1000000,"")</f>
        <v>5.000130</v>
      </c>
    </row>
    <row r="131" ht="15.75" customHeight="1">
      <c r="J131" s="25" t="str">
        <f>IF(AND(OR($B$4="Todos",'B̳ases'!$C120=$B$4),OR($B$5="Todos",'B̳ases'!$G120=$C$5),OR($B$6="Todos",'B̳ases'!$E120=$C$6)),'B̳ases'!$M120+ROW()/1000000,"")</f>
        <v>62.000131</v>
      </c>
    </row>
    <row r="132" ht="15.75" customHeight="1">
      <c r="J132" s="25" t="str">
        <f>IF(AND(OR($B$4="Todos",'B̳ases'!$C121=$B$4),OR($B$5="Todos",'B̳ases'!$G121=$C$5),OR($B$6="Todos",'B̳ases'!$E121=$C$6)),'B̳ases'!$M121+ROW()/1000000,"")</f>
        <v>15.000132</v>
      </c>
    </row>
    <row r="133" ht="15.75" customHeight="1">
      <c r="J133" s="25" t="str">
        <f>IF(AND(OR($B$4="Todos",'B̳ases'!$C122=$B$4),OR($B$5="Todos",'B̳ases'!$G122=$C$5),OR($B$6="Todos",'B̳ases'!$E122=$C$6)),'B̳ases'!$M122+ROW()/1000000,"")</f>
        <v>4.000133</v>
      </c>
    </row>
    <row r="134" ht="15.75" customHeight="1">
      <c r="J134" s="25" t="str">
        <f>IF(AND(OR($B$4="Todos",'B̳ases'!$C123=$B$4),OR($B$5="Todos",'B̳ases'!$G123=$C$5),OR($B$6="Todos",'B̳ases'!$E123=$C$6)),'B̳ases'!$M123+ROW()/1000000,"")</f>
        <v>58.000134</v>
      </c>
    </row>
    <row r="135" ht="15.75" customHeight="1">
      <c r="J135" s="25" t="str">
        <f>IF(AND(OR($B$4="Todos",'B̳ases'!$C124=$B$4),OR($B$5="Todos",'B̳ases'!$G124=$C$5),OR($B$6="Todos",'B̳ases'!$E124=$C$6)),'B̳ases'!$M124+ROW()/1000000,"")</f>
        <v>20.000135</v>
      </c>
    </row>
    <row r="136" ht="15.75" customHeight="1">
      <c r="J136" s="25" t="str">
        <f>IF(AND(OR($B$4="Todos",'B̳ases'!$C125=$B$4),OR($B$5="Todos",'B̳ases'!$G125=$C$5),OR($B$6="Todos",'B̳ases'!$E125=$C$6)),'B̳ases'!$M125+ROW()/1000000,"")</f>
        <v>5.000136</v>
      </c>
    </row>
    <row r="137" ht="15.75" customHeight="1">
      <c r="J137" s="25" t="str">
        <f>IF(AND(OR($B$4="Todos",'B̳ases'!$C126=$B$4),OR($B$5="Todos",'B̳ases'!$G126=$C$5),OR($B$6="Todos",'B̳ases'!$E126=$C$6)),'B̳ases'!$M126+ROW()/1000000,"")</f>
        <v>45.000137</v>
      </c>
    </row>
    <row r="138" ht="15.75" customHeight="1">
      <c r="J138" s="25" t="str">
        <f>IF(AND(OR($B$4="Todos",'B̳ases'!$C127=$B$4),OR($B$5="Todos",'B̳ases'!$G127=$C$5),OR($B$6="Todos",'B̳ases'!$E127=$C$6)),'B̳ases'!$M127+ROW()/1000000,"")</f>
        <v>15.000138</v>
      </c>
    </row>
    <row r="139" ht="15.75" customHeight="1">
      <c r="J139" s="25" t="str">
        <f>IF(AND(OR($B$4="Todos",'B̳ases'!$C128=$B$4),OR($B$5="Todos",'B̳ases'!$G128=$C$5),OR($B$6="Todos",'B̳ases'!$E128=$C$6)),'B̳ases'!$M128+ROW()/1000000,"")</f>
        <v>4.000139</v>
      </c>
    </row>
    <row r="140" ht="15.75" customHeight="1">
      <c r="J140" s="25" t="str">
        <f>IF(AND(OR($B$4="Todos",'B̳ases'!$C129=$B$4),OR($B$5="Todos",'B̳ases'!$G129=$C$5),OR($B$6="Todos",'B̳ases'!$E129=$C$6)),'B̳ases'!$M129+ROW()/1000000,"")</f>
        <v>62.000140</v>
      </c>
    </row>
    <row r="141" ht="15.75" customHeight="1">
      <c r="J141" s="25" t="str">
        <f>IF(AND(OR($B$4="Todos",'B̳ases'!$C130=$B$4),OR($B$5="Todos",'B̳ases'!$G130=$C$5),OR($B$6="Todos",'B̳ases'!$E130=$C$6)),'B̳ases'!$M130+ROW()/1000000,"")</f>
        <v>20.000141</v>
      </c>
    </row>
    <row r="142" ht="15.75" customHeight="1">
      <c r="J142" s="25" t="str">
        <f>IF(AND(OR($B$4="Todos",'B̳ases'!$C131=$B$4),OR($B$5="Todos",'B̳ases'!$G131=$C$5),OR($B$6="Todos",'B̳ases'!$E131=$C$6)),'B̳ases'!$M131+ROW()/1000000,"")</f>
        <v>5.000142</v>
      </c>
    </row>
    <row r="143" ht="15.75" customHeight="1">
      <c r="J143" s="25" t="str">
        <f>IF(AND(OR($B$4="Todos",'B̳ases'!$C132=$B$4),OR($B$5="Todos",'B̳ases'!$G132=$C$5),OR($B$6="Todos",'B̳ases'!$E132=$C$6)),'B̳ases'!$M132+ROW()/1000000,"")</f>
        <v>50.000143</v>
      </c>
    </row>
    <row r="144" ht="15.75" customHeight="1">
      <c r="J144" s="25" t="str">
        <f>IF(AND(OR($B$4="Todos",'B̳ases'!$C133=$B$4),OR($B$5="Todos",'B̳ases'!$G133=$C$5),OR($B$6="Todos",'B̳ases'!$E133=$C$6)),'B̳ases'!$M133+ROW()/1000000,"")</f>
        <v>15.000144</v>
      </c>
    </row>
    <row r="145" ht="15.75" customHeight="1">
      <c r="J145" s="25" t="str">
        <f>IF(AND(OR($B$4="Todos",'B̳ases'!$C134=$B$4),OR($B$5="Todos",'B̳ases'!$G134=$C$5),OR($B$6="Todos",'B̳ases'!$E134=$C$6)),'B̳ases'!$M134+ROW()/1000000,"")</f>
        <v>4.000145</v>
      </c>
    </row>
    <row r="146" ht="15.75" customHeight="1">
      <c r="J146" s="25" t="str">
        <f>IF(AND(OR($B$4="Todos",'B̳ases'!$C135=$B$4),OR($B$5="Todos",'B̳ases'!$G135=$C$5),OR($B$6="Todos",'B̳ases'!$E135=$C$6)),'B̳ases'!$M135+ROW()/1000000,"")</f>
        <v>58.000146</v>
      </c>
    </row>
    <row r="147" ht="15.75" customHeight="1">
      <c r="J147" s="25" t="str">
        <f>IF(AND(OR($B$4="Todos",'B̳ases'!$C136=$B$4),OR($B$5="Todos",'B̳ases'!$G136=$C$5),OR($B$6="Todos",'B̳ases'!$E136=$C$6)),'B̳ases'!$M136+ROW()/1000000,"")</f>
        <v>20.000147</v>
      </c>
    </row>
    <row r="148" ht="15.75" customHeight="1">
      <c r="J148" s="25" t="str">
        <f>IF(AND(OR($B$4="Todos",'B̳ases'!$C137=$B$4),OR($B$5="Todos",'B̳ases'!$G137=$C$5),OR($B$6="Todos",'B̳ases'!$E137=$C$6)),'B̳ases'!$M137+ROW()/1000000,"")</f>
        <v>5.000148</v>
      </c>
    </row>
    <row r="149" ht="15.75" customHeight="1">
      <c r="J149" s="25" t="str">
        <f>IF(AND(OR($B$4="Todos",'B̳ases'!$C138=$B$4),OR($B$5="Todos",'B̳ases'!$G138=$C$5),OR($B$6="Todos",'B̳ases'!$E138=$C$6)),'B̳ases'!$M138+ROW()/1000000,"")</f>
        <v>58.000149</v>
      </c>
    </row>
    <row r="150" ht="15.75" customHeight="1">
      <c r="J150" s="25" t="str">
        <f>IF(AND(OR($B$4="Todos",'B̳ases'!$C139=$B$4),OR($B$5="Todos",'B̳ases'!$G139=$C$5),OR($B$6="Todos",'B̳ases'!$E139=$C$6)),'B̳ases'!$M139+ROW()/1000000,"")</f>
        <v>20.000150</v>
      </c>
    </row>
    <row r="151" ht="15.75" customHeight="1">
      <c r="J151" s="25" t="str">
        <f>IF(AND(OR($B$4="Todos",'B̳ases'!$C140=$B$4),OR($B$5="Todos",'B̳ases'!$G140=$C$5),OR($B$6="Todos",'B̳ases'!$E140=$C$6)),'B̳ases'!$M140+ROW()/1000000,"")</f>
        <v>4.000151</v>
      </c>
    </row>
    <row r="152" ht="15.75" customHeight="1">
      <c r="J152" s="25" t="str">
        <f>IF(AND(OR($B$4="Todos",'B̳ases'!$C141=$B$4),OR($B$5="Todos",'B̳ases'!$G141=$C$5),OR($B$6="Todos",'B̳ases'!$E141=$C$6)),'B̳ases'!$M141+ROW()/1000000,"")</f>
        <v>50.000152</v>
      </c>
    </row>
    <row r="153" ht="15.75" customHeight="1">
      <c r="J153" s="25" t="str">
        <f>IF(AND(OR($B$4="Todos",'B̳ases'!$C142=$B$4),OR($B$5="Todos",'B̳ases'!$G142=$C$5),OR($B$6="Todos",'B̳ases'!$E142=$C$6)),'B̳ases'!$M142+ROW()/1000000,"")</f>
        <v>25.000153</v>
      </c>
    </row>
    <row r="154" ht="15.75" customHeight="1">
      <c r="J154" s="25" t="str">
        <f>IF(AND(OR($B$4="Todos",'B̳ases'!$C143=$B$4),OR($B$5="Todos",'B̳ases'!$G143=$C$5),OR($B$6="Todos",'B̳ases'!$E143=$C$6)),'B̳ases'!$M143+ROW()/1000000,"")</f>
        <v>5.000154</v>
      </c>
    </row>
    <row r="155" ht="15.75" customHeight="1">
      <c r="J155" s="25" t="str">
        <f>IF(AND(OR($B$4="Todos",'B̳ases'!$C144=$B$4),OR($B$5="Todos",'B̳ases'!$G144=$C$5),OR($B$6="Todos",'B̳ases'!$E144=$C$6)),'B̳ases'!$M144+ROW()/1000000,"")</f>
        <v>45.000155</v>
      </c>
    </row>
    <row r="156" ht="15.75" customHeight="1">
      <c r="J156" s="25" t="str">
        <f>IF(AND(OR($B$4="Todos",'B̳ases'!$C145=$B$4),OR($B$5="Todos",'B̳ases'!$G145=$C$5),OR($B$6="Todos",'B̳ases'!$E145=$C$6)),'B̳ases'!$M145+ROW()/1000000,"")</f>
        <v>18.000156</v>
      </c>
    </row>
    <row r="157" ht="15.75" customHeight="1">
      <c r="J157" s="25" t="str">
        <f>IF(AND(OR($B$4="Todos",'B̳ases'!$C146=$B$4),OR($B$5="Todos",'B̳ases'!$G146=$C$5),OR($B$6="Todos",'B̳ases'!$E146=$C$6)),'B̳ases'!$M146+ROW()/1000000,"")</f>
        <v>3.000157</v>
      </c>
    </row>
    <row r="158" ht="15.75" customHeight="1">
      <c r="J158" s="25" t="str">
        <f>IF(AND(OR($B$4="Todos",'B̳ases'!$C147=$B$4),OR($B$5="Todos",'B̳ases'!$G147=$C$5),OR($B$6="Todos",'B̳ases'!$E147=$C$6)),'B̳ases'!$M147+ROW()/1000000,"")</f>
        <v>60.000158</v>
      </c>
    </row>
    <row r="159" ht="15.75" customHeight="1">
      <c r="J159" s="25" t="str">
        <f>IF(AND(OR($B$4="Todos",'B̳ases'!$C148=$B$4),OR($B$5="Todos",'B̳ases'!$G148=$C$5),OR($B$6="Todos",'B̳ases'!$E148=$C$6)),'B̳ases'!$M148+ROW()/1000000,"")</f>
        <v>20.000159</v>
      </c>
    </row>
    <row r="160" ht="15.75" customHeight="1">
      <c r="J160" s="25" t="str">
        <f>IF(AND(OR($B$4="Todos",'B̳ases'!$C149=$B$4),OR($B$5="Todos",'B̳ases'!$G149=$C$5),OR($B$6="Todos",'B̳ases'!$E149=$C$6)),'B̳ases'!$M149+ROW()/1000000,"")</f>
        <v>5.000160</v>
      </c>
    </row>
    <row r="161" ht="15.75" customHeight="1">
      <c r="J161" s="25" t="str">
        <f>IF(AND(OR($B$4="Todos",'B̳ases'!$C150=$B$4),OR($B$5="Todos",'B̳ases'!$G150=$C$5),OR($B$6="Todos",'B̳ases'!$E150=$C$6)),'B̳ases'!$M150+ROW()/1000000,"")</f>
        <v>62.000161</v>
      </c>
    </row>
    <row r="162" ht="15.75" customHeight="1">
      <c r="J162" s="25" t="str">
        <f>IF(AND(OR($B$4="Todos",'B̳ases'!$C151=$B$4),OR($B$5="Todos",'B̳ases'!$G151=$C$5),OR($B$6="Todos",'B̳ases'!$E151=$C$6)),'B̳ases'!$M151+ROW()/1000000,"")</f>
        <v>15.000162</v>
      </c>
    </row>
    <row r="163" ht="15.75" customHeight="1">
      <c r="J163" s="25" t="str">
        <f>IF(AND(OR($B$4="Todos",'B̳ases'!$C152=$B$4),OR($B$5="Todos",'B̳ases'!$G152=$C$5),OR($B$6="Todos",'B̳ases'!$E152=$C$6)),'B̳ases'!$M152+ROW()/1000000,"")</f>
        <v>4.000163</v>
      </c>
    </row>
    <row r="164" ht="15.75" customHeight="1">
      <c r="J164" s="25" t="str">
        <f>IF(AND(OR($B$4="Todos",'B̳ases'!$C153=$B$4),OR($B$5="Todos",'B̳ases'!$G153=$C$5),OR($B$6="Todos",'B̳ases'!$E153=$C$6)),'B̳ases'!$M153+ROW()/1000000,"")</f>
        <v>58.000164</v>
      </c>
    </row>
    <row r="165" ht="15.75" customHeight="1">
      <c r="J165" s="25" t="str">
        <f>IF(AND(OR($B$4="Todos",'B̳ases'!$C154=$B$4),OR($B$5="Todos",'B̳ases'!$G154=$C$5),OR($B$6="Todos",'B̳ases'!$E154=$C$6)),'B̳ases'!$M154+ROW()/1000000,"")</f>
        <v>20.000165</v>
      </c>
    </row>
    <row r="166" ht="15.75" customHeight="1">
      <c r="J166" s="25" t="str">
        <f>IF(AND(OR($B$4="Todos",'B̳ases'!$C155=$B$4),OR($B$5="Todos",'B̳ases'!$G155=$C$5),OR($B$6="Todos",'B̳ases'!$E155=$C$6)),'B̳ases'!$M155+ROW()/1000000,"")</f>
        <v>5.000166</v>
      </c>
    </row>
    <row r="167" ht="15.75" customHeight="1">
      <c r="J167" s="25" t="str">
        <f>IF(AND(OR($B$4="Todos",'B̳ases'!$C156=$B$4),OR($B$5="Todos",'B̳ases'!$G156=$C$5),OR($B$6="Todos",'B̳ases'!$E156=$C$6)),'B̳ases'!$M156+ROW()/1000000,"")</f>
        <v>45.000167</v>
      </c>
    </row>
    <row r="168" ht="15.75" customHeight="1">
      <c r="J168" s="25" t="str">
        <f>IF(AND(OR($B$4="Todos",'B̳ases'!$C157=$B$4),OR($B$5="Todos",'B̳ases'!$G157=$C$5),OR($B$6="Todos",'B̳ases'!$E157=$C$6)),'B̳ases'!$M157+ROW()/1000000,"")</f>
        <v>15.000168</v>
      </c>
    </row>
    <row r="169" ht="15.75" customHeight="1">
      <c r="J169" s="25" t="str">
        <f>IF(AND(OR($B$4="Todos",'B̳ases'!$C158=$B$4),OR($B$5="Todos",'B̳ases'!$G158=$C$5),OR($B$6="Todos",'B̳ases'!$E158=$C$6)),'B̳ases'!$M158+ROW()/1000000,"")</f>
        <v>4.000169</v>
      </c>
    </row>
    <row r="170" ht="15.75" customHeight="1">
      <c r="J170" s="25" t="str">
        <f>IF(AND(OR($B$4="Todos",'B̳ases'!$C159=$B$4),OR($B$5="Todos",'B̳ases'!$G159=$C$5),OR($B$6="Todos",'B̳ases'!$E159=$C$6)),'B̳ases'!$M159+ROW()/1000000,"")</f>
        <v>62.000170</v>
      </c>
    </row>
    <row r="171" ht="15.75" customHeight="1">
      <c r="J171" s="25" t="str">
        <f>IF(AND(OR($B$4="Todos",'B̳ases'!$C160=$B$4),OR($B$5="Todos",'B̳ases'!$G160=$C$5),OR($B$6="Todos",'B̳ases'!$E160=$C$6)),'B̳ases'!$M160+ROW()/1000000,"")</f>
        <v>20.000171</v>
      </c>
    </row>
    <row r="172" ht="15.75" customHeight="1">
      <c r="J172" s="25" t="str">
        <f>IF(AND(OR($B$4="Todos",'B̳ases'!$C161=$B$4),OR($B$5="Todos",'B̳ases'!$G161=$C$5),OR($B$6="Todos",'B̳ases'!$E161=$C$6)),'B̳ases'!$M161+ROW()/1000000,"")</f>
        <v>5.000172</v>
      </c>
    </row>
    <row r="173" ht="15.75" customHeight="1">
      <c r="J173" s="25" t="str">
        <f>IF(AND(OR($B$4="Todos",'B̳ases'!$C162=$B$4),OR($B$5="Todos",'B̳ases'!$G162=$C$5),OR($B$6="Todos",'B̳ases'!$E162=$C$6)),'B̳ases'!$M162+ROW()/1000000,"")</f>
        <v>50.000173</v>
      </c>
    </row>
    <row r="174" ht="15.75" customHeight="1">
      <c r="J174" s="25" t="str">
        <f>IF(AND(OR($B$4="Todos",'B̳ases'!$C163=$B$4),OR($B$5="Todos",'B̳ases'!$G163=$C$5),OR($B$6="Todos",'B̳ases'!$E163=$C$6)),'B̳ases'!$M163+ROW()/1000000,"")</f>
        <v>15.000174</v>
      </c>
    </row>
    <row r="175" ht="15.75" customHeight="1">
      <c r="J175" s="25" t="str">
        <f>IF(AND(OR($B$4="Todos",'B̳ases'!$C164=$B$4),OR($B$5="Todos",'B̳ases'!$G164=$C$5),OR($B$6="Todos",'B̳ases'!$E164=$C$6)),'B̳ases'!$M164+ROW()/1000000,"")</f>
        <v>4.000175</v>
      </c>
    </row>
    <row r="176" ht="15.75" customHeight="1">
      <c r="J176" s="25" t="str">
        <f>IF(AND(OR($B$4="Todos",'B̳ases'!$C165=$B$4),OR($B$5="Todos",'B̳ases'!$G165=$C$5),OR($B$6="Todos",'B̳ases'!$E165=$C$6)),'B̳ases'!$M165+ROW()/1000000,"")</f>
        <v>58.000176</v>
      </c>
    </row>
    <row r="177" ht="15.75" customHeight="1">
      <c r="J177" s="25" t="str">
        <f>IF(AND(OR($B$4="Todos",'B̳ases'!$C166=$B$4),OR($B$5="Todos",'B̳ases'!$G166=$C$5),OR($B$6="Todos",'B̳ases'!$E166=$C$6)),'B̳ases'!$M166+ROW()/1000000,"")</f>
        <v>20.000177</v>
      </c>
    </row>
    <row r="178" ht="15.75" customHeight="1">
      <c r="J178" s="25" t="str">
        <f>IF(AND(OR($B$4="Todos",'B̳ases'!$C167=$B$4),OR($B$5="Todos",'B̳ases'!$G167=$C$5),OR($B$6="Todos",'B̳ases'!$E167=$C$6)),'B̳ases'!$M167+ROW()/1000000,"")</f>
        <v>5.000178</v>
      </c>
    </row>
    <row r="179" ht="15.75" customHeight="1">
      <c r="J179" s="25" t="str">
        <f>IF(AND(OR($B$4="Todos",'B̳ases'!$C168=$B$4),OR($B$5="Todos",'B̳ases'!$G168=$C$5),OR($B$6="Todos",'B̳ases'!$E168=$C$6)),'B̳ases'!$M168+ROW()/1000000,"")</f>
        <v>45.000179</v>
      </c>
    </row>
    <row r="180" ht="15.75" customHeight="1">
      <c r="J180" s="25" t="str">
        <f>IF(AND(OR($B$4="Todos",'B̳ases'!$C169=$B$4),OR($B$5="Todos",'B̳ases'!$G169=$C$5),OR($B$6="Todos",'B̳ases'!$E169=$C$6)),'B̳ases'!$M169+ROW()/1000000,"")</f>
        <v>15.000180</v>
      </c>
    </row>
    <row r="181" ht="15.75" customHeight="1">
      <c r="J181" s="25" t="str">
        <f>IF(AND(OR($B$4="Todos",'B̳ases'!$C170=$B$4),OR($B$5="Todos",'B̳ases'!$G170=$C$5),OR($B$6="Todos",'B̳ases'!$E170=$C$6)),'B̳ases'!$M170+ROW()/1000000,"")</f>
        <v>4.000181</v>
      </c>
    </row>
    <row r="182" ht="15.75" customHeight="1">
      <c r="J182" s="25" t="str">
        <f>IF(AND(OR($B$4="Todos",'B̳ases'!$C171=$B$4),OR($B$5="Todos",'B̳ases'!$G171=$C$5),OR($B$6="Todos",'B̳ases'!$E171=$C$6)),'B̳ases'!$M171+ROW()/1000000,"")</f>
        <v>60.000182</v>
      </c>
    </row>
    <row r="183" ht="15.75" customHeight="1">
      <c r="J183" s="25" t="str">
        <f>IF(AND(OR($B$4="Todos",'B̳ases'!$C172=$B$4),OR($B$5="Todos",'B̳ases'!$G172=$C$5),OR($B$6="Todos",'B̳ases'!$E172=$C$6)),'B̳ases'!$M172+ROW()/1000000,"")</f>
        <v>20.000183</v>
      </c>
    </row>
    <row r="184" ht="15.75" customHeight="1">
      <c r="J184" s="25" t="str">
        <f>IF(AND(OR($B$4="Todos",'B̳ases'!$C173=$B$4),OR($B$5="Todos",'B̳ases'!$G173=$C$5),OR($B$6="Todos",'B̳ases'!$E173=$C$6)),'B̳ases'!$M173+ROW()/1000000,"")</f>
        <v>5.000184</v>
      </c>
    </row>
    <row r="185" ht="15.75" customHeight="1">
      <c r="J185" s="25" t="str">
        <f>IF(AND(OR($B$4="Todos",'B̳ases'!$C174=$B$4),OR($B$5="Todos",'B̳ases'!$G174=$C$5),OR($B$6="Todos",'B̳ases'!$E174=$C$6)),'B̳ases'!$M174+ROW()/1000000,"")</f>
        <v>62.000185</v>
      </c>
    </row>
    <row r="186" ht="15.75" customHeight="1">
      <c r="J186" s="25" t="str">
        <f>IF(AND(OR($B$4="Todos",'B̳ases'!$C175=$B$4),OR($B$5="Todos",'B̳ases'!$G175=$C$5),OR($B$6="Todos",'B̳ases'!$E175=$C$6)),'B̳ases'!$M175+ROW()/1000000,"")</f>
        <v>15.000186</v>
      </c>
    </row>
    <row r="187" ht="15.75" customHeight="1">
      <c r="J187" s="25" t="str">
        <f>IF(AND(OR($B$4="Todos",'B̳ases'!$C176=$B$4),OR($B$5="Todos",'B̳ases'!$G176=$C$5),OR($B$6="Todos",'B̳ases'!$E176=$C$6)),'B̳ases'!$M176+ROW()/1000000,"")</f>
        <v>4.000187</v>
      </c>
    </row>
    <row r="188" ht="15.75" customHeight="1">
      <c r="J188" s="25" t="str">
        <f>IF(AND(OR($B$4="Todos",'B̳ases'!$C177=$B$4),OR($B$5="Todos",'B̳ases'!$G177=$C$5),OR($B$6="Todos",'B̳ases'!$E177=$C$6)),'B̳ases'!$M177+ROW()/1000000,"")</f>
        <v>5.000188</v>
      </c>
    </row>
    <row r="189" ht="15.75" customHeight="1">
      <c r="J189" s="25" t="str">
        <f>IF(AND(OR($B$4="Todos",'B̳ases'!$C178=$B$4),OR($B$5="Todos",'B̳ases'!$G178=$C$5),OR($B$6="Todos",'B̳ases'!$E178=$C$6)),'B̳ases'!$M178+ROW()/1000000,"")</f>
        <v>58.000189</v>
      </c>
    </row>
    <row r="190" ht="15.75" customHeight="1">
      <c r="J190" s="25" t="str">
        <f>IF(AND(OR($B$4="Todos",'B̳ases'!$C179=$B$4),OR($B$5="Todos",'B̳ases'!$G179=$C$5),OR($B$6="Todos",'B̳ases'!$E179=$C$6)),'B̳ases'!$M179+ROW()/1000000,"")</f>
        <v>20.000190</v>
      </c>
    </row>
    <row r="191" ht="15.75" customHeight="1">
      <c r="J191" s="25" t="str">
        <f>IF(AND(OR($B$4="Todos",'B̳ases'!$C180=$B$4),OR($B$5="Todos",'B̳ases'!$G180=$C$5),OR($B$6="Todos",'B̳ases'!$E180=$C$6)),'B̳ases'!$M180+ROW()/1000000,"")</f>
        <v>4.000191</v>
      </c>
    </row>
    <row r="192" ht="15.75" customHeight="1">
      <c r="J192" s="25" t="str">
        <f>IF(AND(OR($B$4="Todos",'B̳ases'!$C181=$B$4),OR($B$5="Todos",'B̳ases'!$G181=$C$5),OR($B$6="Todos",'B̳ases'!$E181=$C$6)),'B̳ases'!$M181+ROW()/1000000,"")</f>
        <v>50.000192</v>
      </c>
    </row>
    <row r="193" ht="15.75" customHeight="1">
      <c r="J193" s="25" t="str">
        <f>IF(AND(OR($B$4="Todos",'B̳ases'!$C182=$B$4),OR($B$5="Todos",'B̳ases'!$G182=$C$5),OR($B$6="Todos",'B̳ases'!$E182=$C$6)),'B̳ases'!$M182+ROW()/1000000,"")</f>
        <v>25.000193</v>
      </c>
    </row>
    <row r="194" ht="15.75" customHeight="1">
      <c r="J194" s="25" t="str">
        <f>IF(AND(OR($B$4="Todos",'B̳ases'!$C183=$B$4),OR($B$5="Todos",'B̳ases'!$G183=$C$5),OR($B$6="Todos",'B̳ases'!$E183=$C$6)),'B̳ases'!$M183+ROW()/1000000,"")</f>
        <v>5.000194</v>
      </c>
    </row>
    <row r="195" ht="15.75" customHeight="1">
      <c r="J195" s="25" t="str">
        <f>IF(AND(OR($B$4="Todos",'B̳ases'!$C184=$B$4),OR($B$5="Todos",'B̳ases'!$G184=$C$5),OR($B$6="Todos",'B̳ases'!$E184=$C$6)),'B̳ases'!$M184+ROW()/1000000,"")</f>
        <v>45.000195</v>
      </c>
    </row>
    <row r="196" ht="15.75" customHeight="1">
      <c r="J196" s="25" t="str">
        <f>IF(AND(OR($B$4="Todos",'B̳ases'!$C185=$B$4),OR($B$5="Todos",'B̳ases'!$G185=$C$5),OR($B$6="Todos",'B̳ases'!$E185=$C$6)),'B̳ases'!$M185+ROW()/1000000,"")</f>
        <v>18.000196</v>
      </c>
    </row>
    <row r="197" ht="15.75" customHeight="1">
      <c r="J197" s="25" t="str">
        <f>IF(AND(OR($B$4="Todos",'B̳ases'!$C186=$B$4),OR($B$5="Todos",'B̳ases'!$G186=$C$5),OR($B$6="Todos",'B̳ases'!$E186=$C$6)),'B̳ases'!$M186+ROW()/1000000,"")</f>
        <v>3.000197</v>
      </c>
    </row>
    <row r="198" ht="15.75" customHeight="1">
      <c r="J198" s="25" t="str">
        <f>IF(AND(OR($B$4="Todos",'B̳ases'!$C187=$B$4),OR($B$5="Todos",'B̳ases'!$G187=$C$5),OR($B$6="Todos",'B̳ases'!$E187=$C$6)),'B̳ases'!$M187+ROW()/1000000,"")</f>
        <v>60.000198</v>
      </c>
    </row>
    <row r="199" ht="15.75" customHeight="1">
      <c r="J199" s="25" t="str">
        <f>IF(AND(OR($B$4="Todos",'B̳ases'!$C188=$B$4),OR($B$5="Todos",'B̳ases'!$G188=$C$5),OR($B$6="Todos",'B̳ases'!$E188=$C$6)),'B̳ases'!$M188+ROW()/1000000,"")</f>
        <v>20.000199</v>
      </c>
    </row>
    <row r="200" ht="15.75" customHeight="1">
      <c r="J200" s="25" t="str">
        <f>IF(AND(OR($B$4="Todos",'B̳ases'!$C189=$B$4),OR($B$5="Todos",'B̳ases'!$G189=$C$5),OR($B$6="Todos",'B̳ases'!$E189=$C$6)),'B̳ases'!$M189+ROW()/1000000,"")</f>
        <v>5.000200</v>
      </c>
    </row>
    <row r="201" ht="15.75" customHeight="1">
      <c r="J201" s="25" t="str">
        <f>IF(AND(OR($B$4="Todos",'B̳ases'!$C190=$B$4),OR($B$5="Todos",'B̳ases'!$G190=$C$5),OR($B$6="Todos",'B̳ases'!$E190=$C$6)),'B̳ases'!$M190+ROW()/1000000,"")</f>
        <v>62.000201</v>
      </c>
    </row>
    <row r="202" ht="15.75" customHeight="1">
      <c r="J202" s="25" t="str">
        <f>IF(AND(OR($B$4="Todos",'B̳ases'!$C191=$B$4),OR($B$5="Todos",'B̳ases'!$G191=$C$5),OR($B$6="Todos",'B̳ases'!$E191=$C$6)),'B̳ases'!$M191+ROW()/1000000,"")</f>
        <v>15.000202</v>
      </c>
    </row>
    <row r="203" ht="15.75" customHeight="1">
      <c r="J203" s="25" t="str">
        <f>IF(AND(OR($B$4="Todos",'B̳ases'!$C192=$B$4),OR($B$5="Todos",'B̳ases'!$G192=$C$5),OR($B$6="Todos",'B̳ases'!$E192=$C$6)),'B̳ases'!$M192+ROW()/1000000,"")</f>
        <v>4.000203</v>
      </c>
    </row>
    <row r="204" ht="15.75" customHeight="1">
      <c r="J204" s="25" t="str">
        <f>IF(AND(OR($B$4="Todos",'B̳ases'!$C193=$B$4),OR($B$5="Todos",'B̳ases'!$G193=$C$5),OR($B$6="Todos",'B̳ases'!$E193=$C$6)),'B̳ases'!$M193+ROW()/1000000,"")</f>
        <v>58.000204</v>
      </c>
    </row>
    <row r="205" ht="15.75" customHeight="1">
      <c r="J205" s="25" t="str">
        <f>IF(AND(OR($B$4="Todos",'B̳ases'!$C194=$B$4),OR($B$5="Todos",'B̳ases'!$G194=$C$5),OR($B$6="Todos",'B̳ases'!$E194=$C$6)),'B̳ases'!$M194+ROW()/1000000,"")</f>
        <v>20.000205</v>
      </c>
    </row>
    <row r="206" ht="15.75" customHeight="1">
      <c r="J206" s="25" t="str">
        <f>IF(AND(OR($B$4="Todos",'B̳ases'!$C195=$B$4),OR($B$5="Todos",'B̳ases'!$G195=$C$5),OR($B$6="Todos",'B̳ases'!$E195=$C$6)),'B̳ases'!$M195+ROW()/1000000,"")</f>
        <v>5.000206</v>
      </c>
    </row>
    <row r="207" ht="15.75" customHeight="1">
      <c r="J207" s="25" t="str">
        <f>IF(AND(OR($B$4="Todos",'B̳ases'!$C196=$B$4),OR($B$5="Todos",'B̳ases'!$G196=$C$5),OR($B$6="Todos",'B̳ases'!$E196=$C$6)),'B̳ases'!$M196+ROW()/1000000,"")</f>
        <v>45.000207</v>
      </c>
    </row>
    <row r="208" ht="15.75" customHeight="1">
      <c r="J208" s="25" t="str">
        <f>IF(AND(OR($B$4="Todos",'B̳ases'!$C197=$B$4),OR($B$5="Todos",'B̳ases'!$G197=$C$5),OR($B$6="Todos",'B̳ases'!$E197=$C$6)),'B̳ases'!$M197+ROW()/1000000,"")</f>
        <v>15.000208</v>
      </c>
    </row>
    <row r="209" ht="15.75" customHeight="1">
      <c r="J209" s="25" t="str">
        <f>IF(AND(OR($B$4="Todos",'B̳ases'!$C198=$B$4),OR($B$5="Todos",'B̳ases'!$G198=$C$5),OR($B$6="Todos",'B̳ases'!$E198=$C$6)),'B̳ases'!$M198+ROW()/1000000,"")</f>
        <v>4.000209</v>
      </c>
    </row>
    <row r="210" ht="15.75" customHeight="1">
      <c r="J210" s="25" t="str">
        <f>IF(AND(OR($B$4="Todos",'B̳ases'!$C199=$B$4),OR($B$5="Todos",'B̳ases'!$G199=$C$5),OR($B$6="Todos",'B̳ases'!$E199=$C$6)),'B̳ases'!$M199+ROW()/1000000,"")</f>
        <v>62.000210</v>
      </c>
    </row>
    <row r="211" ht="15.75" customHeight="1">
      <c r="J211" s="25" t="str">
        <f>IF(AND(OR($B$4="Todos",'B̳ases'!$C200=$B$4),OR($B$5="Todos",'B̳ases'!$G200=$C$5),OR($B$6="Todos",'B̳ases'!$E200=$C$6)),'B̳ases'!$M200+ROW()/1000000,"")</f>
        <v>20.000211</v>
      </c>
    </row>
    <row r="212" ht="15.75" customHeight="1">
      <c r="J212" s="25" t="str">
        <f>IF(AND(OR($B$4="Todos",'B̳ases'!$C201=$B$4),OR($B$5="Todos",'B̳ases'!$G201=$C$5),OR($B$6="Todos",'B̳ases'!$E201=$C$6)),'B̳ases'!$M201+ROW()/1000000,"")</f>
        <v>5.000212</v>
      </c>
    </row>
    <row r="213" ht="15.75" customHeight="1">
      <c r="J213" s="25" t="str">
        <f>IF(AND(OR($B$4="Todos",'B̳ases'!$C202=$B$4),OR($B$5="Todos",'B̳ases'!$G202=$C$5),OR($B$6="Todos",'B̳ases'!$E202=$C$6)),'B̳ases'!$M202+ROW()/1000000,"")</f>
        <v>50.000213</v>
      </c>
    </row>
    <row r="214" ht="15.75" customHeight="1">
      <c r="J214" s="25" t="str">
        <f>IF(AND(OR($B$4="Todos",'B̳ases'!$C203=$B$4),OR($B$5="Todos",'B̳ases'!$G203=$C$5),OR($B$6="Todos",'B̳ases'!$E203=$C$6)),'B̳ases'!$M203+ROW()/1000000,"")</f>
        <v>15.000214</v>
      </c>
    </row>
    <row r="215" ht="15.75" customHeight="1">
      <c r="J215" s="25" t="str">
        <f>IF(AND(OR($B$4="Todos",'B̳ases'!$C204=$B$4),OR($B$5="Todos",'B̳ases'!$G204=$C$5),OR($B$6="Todos",'B̳ases'!$E204=$C$6)),'B̳ases'!$M204+ROW()/1000000,"")</f>
        <v>4.000215</v>
      </c>
    </row>
    <row r="216" ht="15.75" customHeight="1">
      <c r="J216" s="25" t="str">
        <f>IF(AND(OR($B$4="Todos",'B̳ases'!$C205=$B$4),OR($B$5="Todos",'B̳ases'!$G205=$C$5),OR($B$6="Todos",'B̳ases'!$E205=$C$6)),'B̳ases'!$M205+ROW()/1000000,"")</f>
        <v>58.000216</v>
      </c>
    </row>
    <row r="217" ht="15.75" customHeight="1">
      <c r="J217" s="25" t="str">
        <f>IF(AND(OR($B$4="Todos",'B̳ases'!$C206=$B$4),OR($B$5="Todos",'B̳ases'!$G206=$C$5),OR($B$6="Todos",'B̳ases'!$E206=$C$6)),'B̳ases'!$M206+ROW()/1000000,"")</f>
        <v>20.000217</v>
      </c>
    </row>
    <row r="218" ht="15.75" customHeight="1">
      <c r="J218" s="25" t="str">
        <f>IF(AND(OR($B$4="Todos",'B̳ases'!$C207=$B$4),OR($B$5="Todos",'B̳ases'!$G207=$C$5),OR($B$6="Todos",'B̳ases'!$E207=$C$6)),'B̳ases'!$M207+ROW()/1000000,"")</f>
        <v>5.000218</v>
      </c>
    </row>
    <row r="219" ht="15.75" customHeight="1">
      <c r="J219" s="25" t="str">
        <f>IF(AND(OR($B$4="Todos",'B̳ases'!$C208=$B$4),OR($B$5="Todos",'B̳ases'!$G208=$C$5),OR($B$6="Todos",'B̳ases'!$E208=$C$6)),'B̳ases'!$M208+ROW()/1000000,"")</f>
        <v>58.000219</v>
      </c>
    </row>
    <row r="220" ht="15.75" customHeight="1">
      <c r="J220" s="25" t="str">
        <f>IF(AND(OR($B$4="Todos",'B̳ases'!$C209=$B$4),OR($B$5="Todos",'B̳ases'!$G209=$C$5),OR($B$6="Todos",'B̳ases'!$E209=$C$6)),'B̳ases'!$M209+ROW()/1000000,"")</f>
        <v>20.000220</v>
      </c>
    </row>
    <row r="221" ht="15.75" customHeight="1">
      <c r="J221" s="25" t="str">
        <f>IF(AND(OR($B$4="Todos",'B̳ases'!$C210=$B$4),OR($B$5="Todos",'B̳ases'!$G210=$C$5),OR($B$6="Todos",'B̳ases'!$E210=$C$6)),'B̳ases'!$M210+ROW()/1000000,"")</f>
        <v>4.000221</v>
      </c>
    </row>
    <row r="222" ht="15.75" customHeight="1">
      <c r="J222" s="25" t="str">
        <f>IF(AND(OR($B$4="Todos",'B̳ases'!$C211=$B$4),OR($B$5="Todos",'B̳ases'!$G211=$C$5),OR($B$6="Todos",'B̳ases'!$E211=$C$6)),'B̳ases'!$M211+ROW()/1000000,"")</f>
        <v>50.000222</v>
      </c>
    </row>
    <row r="223" ht="15.75" customHeight="1">
      <c r="J223" s="25" t="str">
        <f>IF(AND(OR($B$4="Todos",'B̳ases'!$C212=$B$4),OR($B$5="Todos",'B̳ases'!$G212=$C$5),OR($B$6="Todos",'B̳ases'!$E212=$C$6)),'B̳ases'!$M212+ROW()/1000000,"")</f>
        <v>25.000223</v>
      </c>
    </row>
    <row r="224" ht="15.75" customHeight="1">
      <c r="J224" s="25" t="str">
        <f>IF(AND(OR($B$4="Todos",'B̳ases'!$C213=$B$4),OR($B$5="Todos",'B̳ases'!$G213=$C$5),OR($B$6="Todos",'B̳ases'!$E213=$C$6)),'B̳ases'!$M213+ROW()/1000000,"")</f>
        <v>5.000224</v>
      </c>
    </row>
    <row r="225" ht="15.75" customHeight="1">
      <c r="J225" s="25" t="str">
        <f>IF(AND(OR($B$4="Todos",'B̳ases'!$C214=$B$4),OR($B$5="Todos",'B̳ases'!$G214=$C$5),OR($B$6="Todos",'B̳ases'!$E214=$C$6)),'B̳ases'!$M214+ROW()/1000000,"")</f>
        <v>45.000225</v>
      </c>
    </row>
    <row r="226" ht="15.75" customHeight="1">
      <c r="J226" s="25" t="str">
        <f>IF(AND(OR($B$4="Todos",'B̳ases'!$C215=$B$4),OR($B$5="Todos",'B̳ases'!$G215=$C$5),OR($B$6="Todos",'B̳ases'!$E215=$C$6)),'B̳ases'!$M215+ROW()/1000000,"")</f>
        <v>18.000226</v>
      </c>
    </row>
    <row r="227" ht="15.75" customHeight="1">
      <c r="J227" s="25" t="str">
        <f>IF(AND(OR($B$4="Todos",'B̳ases'!$C216=$B$4),OR($B$5="Todos",'B̳ases'!$G216=$C$5),OR($B$6="Todos",'B̳ases'!$E216=$C$6)),'B̳ases'!$M216+ROW()/1000000,"")</f>
        <v>3.000227</v>
      </c>
    </row>
    <row r="228" ht="15.75" customHeight="1">
      <c r="J228" s="25" t="str">
        <f>IF(AND(OR($B$4="Todos",'B̳ases'!$C217=$B$4),OR($B$5="Todos",'B̳ases'!$G217=$C$5),OR($B$6="Todos",'B̳ases'!$E217=$C$6)),'B̳ases'!$M217+ROW()/1000000,"")</f>
        <v>60.000228</v>
      </c>
    </row>
    <row r="229" ht="15.75" customHeight="1">
      <c r="J229" s="25" t="str">
        <f>IF(AND(OR($B$4="Todos",'B̳ases'!$C218=$B$4),OR($B$5="Todos",'B̳ases'!$G218=$C$5),OR($B$6="Todos",'B̳ases'!$E218=$C$6)),'B̳ases'!$M218+ROW()/1000000,"")</f>
        <v>20.000229</v>
      </c>
    </row>
    <row r="230" ht="15.75" customHeight="1">
      <c r="J230" s="25" t="str">
        <f>IF(AND(OR($B$4="Todos",'B̳ases'!$C219=$B$4),OR($B$5="Todos",'B̳ases'!$G219=$C$5),OR($B$6="Todos",'B̳ases'!$E219=$C$6)),'B̳ases'!$M219+ROW()/1000000,"")</f>
        <v>5.000230</v>
      </c>
    </row>
    <row r="231" ht="15.75" customHeight="1">
      <c r="J231" s="25" t="str">
        <f>IF(AND(OR($B$4="Todos",'B̳ases'!$C220=$B$4),OR($B$5="Todos",'B̳ases'!$G220=$C$5),OR($B$6="Todos",'B̳ases'!$E220=$C$6)),'B̳ases'!$M220+ROW()/1000000,"")</f>
        <v>62.000231</v>
      </c>
    </row>
    <row r="232" ht="15.75" customHeight="1">
      <c r="J232" s="25" t="str">
        <f>IF(AND(OR($B$4="Todos",'B̳ases'!$C221=$B$4),OR($B$5="Todos",'B̳ases'!$G221=$C$5),OR($B$6="Todos",'B̳ases'!$E221=$C$6)),'B̳ases'!$M221+ROW()/1000000,"")</f>
        <v>15.000232</v>
      </c>
    </row>
    <row r="233" ht="15.75" customHeight="1">
      <c r="J233" s="25" t="str">
        <f>IF(AND(OR($B$4="Todos",'B̳ases'!$C222=$B$4),OR($B$5="Todos",'B̳ases'!$G222=$C$5),OR($B$6="Todos",'B̳ases'!$E222=$C$6)),'B̳ases'!$M222+ROW()/1000000,"")</f>
        <v>4.000233</v>
      </c>
    </row>
    <row r="234" ht="15.75" customHeight="1">
      <c r="J234" s="25" t="str">
        <f>IF(AND(OR($B$4="Todos",'B̳ases'!$C223=$B$4),OR($B$5="Todos",'B̳ases'!$G223=$C$5),OR($B$6="Todos",'B̳ases'!$E223=$C$6)),'B̳ases'!$M223+ROW()/1000000,"")</f>
        <v>58.000234</v>
      </c>
    </row>
    <row r="235" ht="15.75" customHeight="1">
      <c r="J235" s="25" t="str">
        <f>IF(AND(OR($B$4="Todos",'B̳ases'!$C224=$B$4),OR($B$5="Todos",'B̳ases'!$G224=$C$5),OR($B$6="Todos",'B̳ases'!$E224=$C$6)),'B̳ases'!$M224+ROW()/1000000,"")</f>
        <v>20.000235</v>
      </c>
    </row>
    <row r="236" ht="15.75" customHeight="1">
      <c r="J236" s="25" t="str">
        <f>IF(AND(OR($B$4="Todos",'B̳ases'!$C225=$B$4),OR($B$5="Todos",'B̳ases'!$G225=$C$5),OR($B$6="Todos",'B̳ases'!$E225=$C$6)),'B̳ases'!$M225+ROW()/1000000,"")</f>
        <v>5.000236</v>
      </c>
    </row>
    <row r="237" ht="15.75" customHeight="1">
      <c r="J237" s="25" t="str">
        <f>IF(AND(OR($B$4="Todos",'B̳ases'!$C226=$B$4),OR($B$5="Todos",'B̳ases'!$G226=$C$5),OR($B$6="Todos",'B̳ases'!$E226=$C$6)),'B̳ases'!$M226+ROW()/1000000,"")</f>
        <v>45.000237</v>
      </c>
    </row>
    <row r="238" ht="15.75" customHeight="1">
      <c r="J238" s="25" t="str">
        <f>IF(AND(OR($B$4="Todos",'B̳ases'!$C227=$B$4),OR($B$5="Todos",'B̳ases'!$G227=$C$5),OR($B$6="Todos",'B̳ases'!$E227=$C$6)),'B̳ases'!$M227+ROW()/1000000,"")</f>
        <v>15.000238</v>
      </c>
    </row>
    <row r="239" ht="15.75" customHeight="1">
      <c r="J239" s="25" t="str">
        <f>IF(AND(OR($B$4="Todos",'B̳ases'!$C228=$B$4),OR($B$5="Todos",'B̳ases'!$G228=$C$5),OR($B$6="Todos",'B̳ases'!$E228=$C$6)),'B̳ases'!$M228+ROW()/1000000,"")</f>
        <v>4.000239</v>
      </c>
    </row>
    <row r="240" ht="15.75" customHeight="1">
      <c r="J240" s="25" t="str">
        <f>IF(AND(OR($B$4="Todos",'B̳ases'!$C229=$B$4),OR($B$5="Todos",'B̳ases'!$G229=$C$5),OR($B$6="Todos",'B̳ases'!$E229=$C$6)),'B̳ases'!$M229+ROW()/1000000,"")</f>
        <v>62.000240</v>
      </c>
    </row>
    <row r="241" ht="15.75" customHeight="1">
      <c r="J241" s="25" t="str">
        <f>IF(AND(OR($B$4="Todos",'B̳ases'!$C230=$B$4),OR($B$5="Todos",'B̳ases'!$G230=$C$5),OR($B$6="Todos",'B̳ases'!$E230=$C$6)),'B̳ases'!$M230+ROW()/1000000,"")</f>
        <v>20.000241</v>
      </c>
    </row>
    <row r="242" ht="15.75" customHeight="1">
      <c r="J242" s="25" t="str">
        <f>IF(AND(OR($B$4="Todos",'B̳ases'!$C231=$B$4),OR($B$5="Todos",'B̳ases'!$G231=$C$5),OR($B$6="Todos",'B̳ases'!$E231=$C$6)),'B̳ases'!$M231+ROW()/1000000,"")</f>
        <v>5.000242</v>
      </c>
    </row>
    <row r="243" ht="15.75" customHeight="1">
      <c r="J243" s="25" t="str">
        <f>IF(AND(OR($B$4="Todos",'B̳ases'!$C232=$B$4),OR($B$5="Todos",'B̳ases'!$G232=$C$5),OR($B$6="Todos",'B̳ases'!$E232=$C$6)),'B̳ases'!$M232+ROW()/1000000,"")</f>
        <v>50.000243</v>
      </c>
    </row>
    <row r="244" ht="15.75" customHeight="1">
      <c r="J244" s="25" t="str">
        <f>IF(AND(OR($B$4="Todos",'B̳ases'!$C233=$B$4),OR($B$5="Todos",'B̳ases'!$G233=$C$5),OR($B$6="Todos",'B̳ases'!$E233=$C$6)),'B̳ases'!$M233+ROW()/1000000,"")</f>
        <v>15.000244</v>
      </c>
    </row>
    <row r="245" ht="15.75" customHeight="1">
      <c r="J245" s="25" t="str">
        <f>IF(AND(OR($B$4="Todos",'B̳ases'!$C234=$B$4),OR($B$5="Todos",'B̳ases'!$G234=$C$5),OR($B$6="Todos",'B̳ases'!$E234=$C$6)),'B̳ases'!$M234+ROW()/1000000,"")</f>
        <v>4.000245</v>
      </c>
    </row>
    <row r="246" ht="15.75" customHeight="1">
      <c r="J246" s="25" t="str">
        <f>IF(AND(OR($B$4="Todos",'B̳ases'!$C235=$B$4),OR($B$5="Todos",'B̳ases'!$G235=$C$5),OR($B$6="Todos",'B̳ases'!$E235=$C$6)),'B̳ases'!$M235+ROW()/1000000,"")</f>
        <v>58.000246</v>
      </c>
    </row>
    <row r="247" ht="15.75" customHeight="1">
      <c r="J247" s="25" t="str">
        <f>IF(AND(OR($B$4="Todos",'B̳ases'!$C236=$B$4),OR($B$5="Todos",'B̳ases'!$G236=$C$5),OR($B$6="Todos",'B̳ases'!$E236=$C$6)),'B̳ases'!$M236+ROW()/1000000,"")</f>
        <v>20.000247</v>
      </c>
    </row>
    <row r="248" ht="15.75" customHeight="1">
      <c r="J248" s="25" t="str">
        <f>IF(AND(OR($B$4="Todos",'B̳ases'!$C237=$B$4),OR($B$5="Todos",'B̳ases'!$G237=$C$5),OR($B$6="Todos",'B̳ases'!$E237=$C$6)),'B̳ases'!$M237+ROW()/1000000,"")</f>
        <v>5.000248</v>
      </c>
    </row>
    <row r="249" ht="15.75" customHeight="1">
      <c r="J249" s="25" t="str">
        <f>IF(AND(OR($B$4="Todos",'B̳ases'!$C238=$B$4),OR($B$5="Todos",'B̳ases'!$G238=$C$5),OR($B$6="Todos",'B̳ases'!$E238=$C$6)),'B̳ases'!$M238+ROW()/1000000,"")</f>
        <v>50.000249</v>
      </c>
    </row>
    <row r="250" ht="15.75" customHeight="1">
      <c r="J250" s="25" t="str">
        <f>IF(AND(OR($B$4="Todos",'B̳ases'!$C239=$B$4),OR($B$5="Todos",'B̳ases'!$G239=$C$5),OR($B$6="Todos",'B̳ases'!$E239=$C$6)),'B̳ases'!$M239+ROW()/1000000,"")</f>
        <v>18.000250</v>
      </c>
    </row>
    <row r="251" ht="15.75" customHeight="1">
      <c r="J251" s="25" t="str">
        <f>IF(AND(OR($B$4="Todos",'B̳ases'!$C240=$B$4),OR($B$5="Todos",'B̳ases'!$G240=$C$5),OR($B$6="Todos",'B̳ases'!$E240=$C$6)),'B̳ases'!$M240+ROW()/1000000,"")</f>
        <v>3.000251</v>
      </c>
    </row>
    <row r="252" ht="15.75" customHeight="1">
      <c r="J252" s="25" t="str">
        <f>IF(AND(OR($B$4="Todos",'B̳ases'!$C241=$B$4),OR($B$5="Todos",'B̳ases'!$G241=$C$5),OR($B$6="Todos",'B̳ases'!$E241=$C$6)),'B̳ases'!$M241+ROW()/1000000,"")</f>
        <v>60.000252</v>
      </c>
    </row>
    <row r="253" ht="15.75" customHeight="1">
      <c r="J253" s="25" t="str">
        <f>IF(AND(OR($B$4="Todos",'B̳ases'!$C242=$B$4),OR($B$5="Todos",'B̳ases'!$G242=$C$5),OR($B$6="Todos",'B̳ases'!$E242=$C$6)),'B̳ases'!$M242+ROW()/1000000,"")</f>
        <v>20.000253</v>
      </c>
    </row>
    <row r="254" ht="15.75" customHeight="1">
      <c r="J254" s="25" t="str">
        <f>IF(AND(OR($B$4="Todos",'B̳ases'!$C243=$B$4),OR($B$5="Todos",'B̳ases'!$G243=$C$5),OR($B$6="Todos",'B̳ases'!$E243=$C$6)),'B̳ases'!$M243+ROW()/1000000,"")</f>
        <v>5.000254</v>
      </c>
    </row>
    <row r="255" ht="15.75" customHeight="1">
      <c r="J255" s="25" t="str">
        <f>IF(AND(OR($B$4="Todos",'B̳ases'!$C244=$B$4),OR($B$5="Todos",'B̳ases'!$G244=$C$5),OR($B$6="Todos",'B̳ases'!$E244=$C$6)),'B̳ases'!$M244+ROW()/1000000,"")</f>
        <v>62.000255</v>
      </c>
    </row>
    <row r="256" ht="15.75" customHeight="1">
      <c r="J256" s="25" t="str">
        <f>IF(AND(OR($B$4="Todos",'B̳ases'!$C245=$B$4),OR($B$5="Todos",'B̳ases'!$G245=$C$5),OR($B$6="Todos",'B̳ases'!$E245=$C$6)),'B̳ases'!$M245+ROW()/1000000,"")</f>
        <v>15.000256</v>
      </c>
    </row>
    <row r="257" ht="15.75" customHeight="1">
      <c r="J257" s="25" t="str">
        <f>IF(AND(OR($B$4="Todos",'B̳ases'!$C246=$B$4),OR($B$5="Todos",'B̳ases'!$G246=$C$5),OR($B$6="Todos",'B̳ases'!$E246=$C$6)),'B̳ases'!$M246+ROW()/1000000,"")</f>
        <v>4.000257</v>
      </c>
    </row>
    <row r="258" ht="15.75" customHeight="1">
      <c r="J258" s="25" t="str">
        <f>IF(AND(OR($B$4="Todos",'B̳ases'!$C247=$B$4),OR($B$5="Todos",'B̳ases'!$G247=$C$5),OR($B$6="Todos",'B̳ases'!$E247=$C$6)),'B̳ases'!$M247+ROW()/1000000,"")</f>
        <v>58.000258</v>
      </c>
    </row>
    <row r="259" ht="15.75" customHeight="1">
      <c r="J259" s="25" t="str">
        <f>IF(AND(OR($B$4="Todos",'B̳ases'!$C248=$B$4),OR($B$5="Todos",'B̳ases'!$G248=$C$5),OR($B$6="Todos",'B̳ases'!$E248=$C$6)),'B̳ases'!$M248+ROW()/1000000,"")</f>
        <v>20.000259</v>
      </c>
    </row>
    <row r="260" ht="15.75" customHeight="1">
      <c r="J260" s="25" t="str">
        <f>IF(AND(OR($B$4="Todos",'B̳ases'!$C249=$B$4),OR($B$5="Todos",'B̳ases'!$G249=$C$5),OR($B$6="Todos",'B̳ases'!$E249=$C$6)),'B̳ases'!$M249+ROW()/1000000,"")</f>
        <v>5.000260</v>
      </c>
    </row>
    <row r="261" ht="15.75" customHeight="1">
      <c r="J261" s="25" t="str">
        <f>IF(AND(OR($B$4="Todos",'B̳ases'!$C250=$B$4),OR($B$5="Todos",'B̳ases'!$G250=$C$5),OR($B$6="Todos",'B̳ases'!$E250=$C$6)),'B̳ases'!$M250+ROW()/1000000,"")</f>
        <v>45.000261</v>
      </c>
    </row>
    <row r="262" ht="15.75" customHeight="1">
      <c r="J262" s="25" t="str">
        <f>IF(AND(OR($B$4="Todos",'B̳ases'!$C251=$B$4),OR($B$5="Todos",'B̳ases'!$G251=$C$5),OR($B$6="Todos",'B̳ases'!$E251=$C$6)),'B̳ases'!$M251+ROW()/1000000,"")</f>
        <v>15.000262</v>
      </c>
    </row>
    <row r="263" ht="15.75" customHeight="1">
      <c r="J263" s="25" t="str">
        <f>IF(AND(OR($B$4="Todos",'B̳ases'!$C252=$B$4),OR($B$5="Todos",'B̳ases'!$G252=$C$5),OR($B$6="Todos",'B̳ases'!$E252=$C$6)),'B̳ases'!$M252+ROW()/1000000,"")</f>
        <v>4.000263</v>
      </c>
    </row>
    <row r="264" ht="15.75" customHeight="1">
      <c r="J264" s="25" t="str">
        <f>IF(AND(OR($B$4="Todos",'B̳ases'!$C253=$B$4),OR($B$5="Todos",'B̳ases'!$G253=$C$5),OR($B$6="Todos",'B̳ases'!$E253=$C$6)),'B̳ases'!$M253+ROW()/1000000,"")</f>
        <v>62.000264</v>
      </c>
    </row>
    <row r="265" ht="15.75" customHeight="1">
      <c r="J265" s="25" t="str">
        <f>IF(AND(OR($B$4="Todos",'B̳ases'!$C254=$B$4),OR($B$5="Todos",'B̳ases'!$G254=$C$5),OR($B$6="Todos",'B̳ases'!$E254=$C$6)),'B̳ases'!$M254+ROW()/1000000,"")</f>
        <v>20.000265</v>
      </c>
    </row>
    <row r="266" ht="15.75" customHeight="1">
      <c r="J266" s="25" t="str">
        <f>IF(AND(OR($B$4="Todos",'B̳ases'!$C255=$B$4),OR($B$5="Todos",'B̳ases'!$G255=$C$5),OR($B$6="Todos",'B̳ases'!$E255=$C$6)),'B̳ases'!$M255+ROW()/1000000,"")</f>
        <v>5.000266</v>
      </c>
    </row>
    <row r="267" ht="15.75" customHeight="1">
      <c r="J267" s="25" t="str">
        <f>IF(AND(OR($B$4="Todos",'B̳ases'!$C256=$B$4),OR($B$5="Todos",'B̳ases'!$G256=$C$5),OR($B$6="Todos",'B̳ases'!$E256=$C$6)),'B̳ases'!$M256+ROW()/1000000,"")</f>
        <v>50.000267</v>
      </c>
    </row>
    <row r="268" ht="15.75" customHeight="1">
      <c r="J268" s="25" t="str">
        <f>IF(AND(OR($B$4="Todos",'B̳ases'!$C257=$B$4),OR($B$5="Todos",'B̳ases'!$G257=$C$5),OR($B$6="Todos",'B̳ases'!$E257=$C$6)),'B̳ases'!$M257+ROW()/1000000,"")</f>
        <v>5.000268</v>
      </c>
    </row>
    <row r="269" ht="15.75" customHeight="1">
      <c r="J269" s="25" t="str">
        <f>IF(AND(OR($B$4="Todos",'B̳ases'!$C258=$B$4),OR($B$5="Todos",'B̳ases'!$G258=$C$5),OR($B$6="Todos",'B̳ases'!$E258=$C$6)),'B̳ases'!$M258+ROW()/1000000,"")</f>
        <v>58.000269</v>
      </c>
    </row>
    <row r="270" ht="15.75" customHeight="1">
      <c r="J270" s="25" t="str">
        <f>IF(AND(OR($B$4="Todos",'B̳ases'!$C259=$B$4),OR($B$5="Todos",'B̳ases'!$G259=$C$5),OR($B$6="Todos",'B̳ases'!$E259=$C$6)),'B̳ases'!$M259+ROW()/1000000,"")</f>
        <v>20.000270</v>
      </c>
    </row>
    <row r="271" ht="15.75" customHeight="1">
      <c r="J271" s="25" t="str">
        <f>IF(AND(OR($B$4="Todos",'B̳ases'!$C260=$B$4),OR($B$5="Todos",'B̳ases'!$G260=$C$5),OR($B$6="Todos",'B̳ases'!$E260=$C$6)),'B̳ases'!$M260+ROW()/1000000,"")</f>
        <v>4.000271</v>
      </c>
    </row>
    <row r="272" ht="15.75" customHeight="1">
      <c r="J272" s="25" t="str">
        <f>IF(AND(OR($B$4="Todos",'B̳ases'!$C261=$B$4),OR($B$5="Todos",'B̳ases'!$G261=$C$5),OR($B$6="Todos",'B̳ases'!$E261=$C$6)),'B̳ases'!$M261+ROW()/1000000,"")</f>
        <v>50.000272</v>
      </c>
    </row>
    <row r="273" ht="15.75" customHeight="1">
      <c r="J273" s="25" t="str">
        <f>IF(AND(OR($B$4="Todos",'B̳ases'!$C262=$B$4),OR($B$5="Todos",'B̳ases'!$G262=$C$5),OR($B$6="Todos",'B̳ases'!$E262=$C$6)),'B̳ases'!$M262+ROW()/1000000,"")</f>
        <v>25.000273</v>
      </c>
    </row>
    <row r="274" ht="15.75" customHeight="1">
      <c r="J274" s="25" t="str">
        <f>IF(AND(OR($B$4="Todos",'B̳ases'!$C263=$B$4),OR($B$5="Todos",'B̳ases'!$G263=$C$5),OR($B$6="Todos",'B̳ases'!$E263=$C$6)),'B̳ases'!$M263+ROW()/1000000,"")</f>
        <v>5.000274</v>
      </c>
    </row>
    <row r="275" ht="15.75" customHeight="1">
      <c r="J275" s="25" t="str">
        <f>IF(AND(OR($B$4="Todos",'B̳ases'!$C264=$B$4),OR($B$5="Todos",'B̳ases'!$G264=$C$5),OR($B$6="Todos",'B̳ases'!$E264=$C$6)),'B̳ases'!$M264+ROW()/1000000,"")</f>
        <v>45.000275</v>
      </c>
    </row>
    <row r="276" ht="15.75" customHeight="1">
      <c r="J276" s="25" t="str">
        <f>IF(AND(OR($B$4="Todos",'B̳ases'!$C265=$B$4),OR($B$5="Todos",'B̳ases'!$G265=$C$5),OR($B$6="Todos",'B̳ases'!$E265=$C$6)),'B̳ases'!$M265+ROW()/1000000,"")</f>
        <v>18.000276</v>
      </c>
    </row>
    <row r="277" ht="15.75" customHeight="1">
      <c r="J277" s="25" t="str">
        <f>IF(AND(OR($B$4="Todos",'B̳ases'!$C266=$B$4),OR($B$5="Todos",'B̳ases'!$G266=$C$5),OR($B$6="Todos",'B̳ases'!$E266=$C$6)),'B̳ases'!$M266+ROW()/1000000,"")</f>
        <v>3.000277</v>
      </c>
    </row>
    <row r="278" ht="15.75" customHeight="1">
      <c r="J278" s="25" t="str">
        <f>IF(AND(OR($B$4="Todos",'B̳ases'!$C267=$B$4),OR($B$5="Todos",'B̳ases'!$G267=$C$5),OR($B$6="Todos",'B̳ases'!$E267=$C$6)),'B̳ases'!$M267+ROW()/1000000,"")</f>
        <v>60.000278</v>
      </c>
    </row>
    <row r="279" ht="15.75" customHeight="1">
      <c r="J279" s="25" t="str">
        <f>IF(AND(OR($B$4="Todos",'B̳ases'!$C268=$B$4),OR($B$5="Todos",'B̳ases'!$G268=$C$5),OR($B$6="Todos",'B̳ases'!$E268=$C$6)),'B̳ases'!$M268+ROW()/1000000,"")</f>
        <v>20.000279</v>
      </c>
    </row>
    <row r="280" ht="15.75" customHeight="1">
      <c r="J280" s="25" t="str">
        <f>IF(AND(OR($B$4="Todos",'B̳ases'!$C269=$B$4),OR($B$5="Todos",'B̳ases'!$G269=$C$5),OR($B$6="Todos",'B̳ases'!$E269=$C$6)),'B̳ases'!$M269+ROW()/1000000,"")</f>
        <v>5.000280</v>
      </c>
    </row>
    <row r="281" ht="15.75" customHeight="1">
      <c r="J281" s="25" t="str">
        <f>IF(AND(OR($B$4="Todos",'B̳ases'!$C270=$B$4),OR($B$5="Todos",'B̳ases'!$G270=$C$5),OR($B$6="Todos",'B̳ases'!$E270=$C$6)),'B̳ases'!$M270+ROW()/1000000,"")</f>
        <v>62.000281</v>
      </c>
    </row>
    <row r="282" ht="15.75" customHeight="1">
      <c r="J282" s="25" t="str">
        <f>IF(AND(OR($B$4="Todos",'B̳ases'!$C271=$B$4),OR($B$5="Todos",'B̳ases'!$G271=$C$5),OR($B$6="Todos",'B̳ases'!$E271=$C$6)),'B̳ases'!$M271+ROW()/1000000,"")</f>
        <v>15.000282</v>
      </c>
    </row>
    <row r="283" ht="15.75" customHeight="1">
      <c r="J283" s="25" t="str">
        <f>IF(AND(OR($B$4="Todos",'B̳ases'!$C272=$B$4),OR($B$5="Todos",'B̳ases'!$G272=$C$5),OR($B$6="Todos",'B̳ases'!$E272=$C$6)),'B̳ases'!$M272+ROW()/1000000,"")</f>
        <v>4.000283</v>
      </c>
    </row>
    <row r="284" ht="15.75" customHeight="1">
      <c r="J284" s="25" t="str">
        <f>IF(AND(OR($B$4="Todos",'B̳ases'!$C273=$B$4),OR($B$5="Todos",'B̳ases'!$G273=$C$5),OR($B$6="Todos",'B̳ases'!$E273=$C$6)),'B̳ases'!$M273+ROW()/1000000,"")</f>
        <v>58.000284</v>
      </c>
    </row>
    <row r="285" ht="15.75" customHeight="1">
      <c r="J285" s="25" t="str">
        <f>IF(AND(OR($B$4="Todos",'B̳ases'!$C274=$B$4),OR($B$5="Todos",'B̳ases'!$G274=$C$5),OR($B$6="Todos",'B̳ases'!$E274=$C$6)),'B̳ases'!$M274+ROW()/1000000,"")</f>
        <v>20.000285</v>
      </c>
    </row>
    <row r="286" ht="15.75" customHeight="1">
      <c r="J286" s="25" t="str">
        <f>IF(AND(OR($B$4="Todos",'B̳ases'!$C275=$B$4),OR($B$5="Todos",'B̳ases'!$G275=$C$5),OR($B$6="Todos",'B̳ases'!$E275=$C$6)),'B̳ases'!$M275+ROW()/1000000,"")</f>
        <v>5.000286</v>
      </c>
    </row>
    <row r="287" ht="15.75" customHeight="1">
      <c r="J287" s="25" t="str">
        <f>IF(AND(OR($B$4="Todos",'B̳ases'!$C276=$B$4),OR($B$5="Todos",'B̳ases'!$G276=$C$5),OR($B$6="Todos",'B̳ases'!$E276=$C$6)),'B̳ases'!$M276+ROW()/1000000,"")</f>
        <v>45.000287</v>
      </c>
    </row>
    <row r="288" ht="15.75" customHeight="1">
      <c r="J288" s="25" t="str">
        <f>IF(AND(OR($B$4="Todos",'B̳ases'!$C277=$B$4),OR($B$5="Todos",'B̳ases'!$G277=$C$5),OR($B$6="Todos",'B̳ases'!$E277=$C$6)),'B̳ases'!$M277+ROW()/1000000,"")</f>
        <v>15.000288</v>
      </c>
    </row>
    <row r="289" ht="15.75" customHeight="1">
      <c r="J289" s="25" t="str">
        <f>IF(AND(OR($B$4="Todos",'B̳ases'!$C278=$B$4),OR($B$5="Todos",'B̳ases'!$G278=$C$5),OR($B$6="Todos",'B̳ases'!$E278=$C$6)),'B̳ases'!$M278+ROW()/1000000,"")</f>
        <v>4.000289</v>
      </c>
    </row>
    <row r="290" ht="15.75" customHeight="1">
      <c r="J290" s="25" t="str">
        <f>IF(AND(OR($B$4="Todos",'B̳ases'!$C279=$B$4),OR($B$5="Todos",'B̳ases'!$G279=$C$5),OR($B$6="Todos",'B̳ases'!$E279=$C$6)),'B̳ases'!$M279+ROW()/1000000,"")</f>
        <v>62.000290</v>
      </c>
    </row>
    <row r="291" ht="15.75" customHeight="1">
      <c r="J291" s="25" t="str">
        <f>IF(AND(OR($B$4="Todos",'B̳ases'!$C280=$B$4),OR($B$5="Todos",'B̳ases'!$G280=$C$5),OR($B$6="Todos",'B̳ases'!$E280=$C$6)),'B̳ases'!$M280+ROW()/1000000,"")</f>
        <v>20.000291</v>
      </c>
    </row>
    <row r="292" ht="15.75" customHeight="1">
      <c r="J292" s="25" t="str">
        <f>IF(AND(OR($B$4="Todos",'B̳ases'!$C281=$B$4),OR($B$5="Todos",'B̳ases'!$G281=$C$5),OR($B$6="Todos",'B̳ases'!$E281=$C$6)),'B̳ases'!$M281+ROW()/1000000,"")</f>
        <v>5.000292</v>
      </c>
    </row>
    <row r="293" ht="15.75" customHeight="1">
      <c r="J293" s="25" t="str">
        <f>IF(AND(OR($B$4="Todos",'B̳ases'!$C282=$B$4),OR($B$5="Todos",'B̳ases'!$G282=$C$5),OR($B$6="Todos",'B̳ases'!$E282=$C$6)),'B̳ases'!$M282+ROW()/1000000,"")</f>
        <v>50.000293</v>
      </c>
    </row>
    <row r="294" ht="15.75" customHeight="1">
      <c r="J294" s="25" t="str">
        <f>IF(AND(OR($B$4="Todos",'B̳ases'!$C283=$B$4),OR($B$5="Todos",'B̳ases'!$G283=$C$5),OR($B$6="Todos",'B̳ases'!$E283=$C$6)),'B̳ases'!$M283+ROW()/1000000,"")</f>
        <v>15.000294</v>
      </c>
    </row>
    <row r="295" ht="15.75" customHeight="1">
      <c r="J295" s="25" t="str">
        <f>IF(AND(OR($B$4="Todos",'B̳ases'!$C284=$B$4),OR($B$5="Todos",'B̳ases'!$G284=$C$5),OR($B$6="Todos",'B̳ases'!$E284=$C$6)),'B̳ases'!$M284+ROW()/1000000,"")</f>
        <v>4.000295</v>
      </c>
    </row>
    <row r="296" ht="15.75" customHeight="1">
      <c r="J296" s="25" t="str">
        <f>IF(AND(OR($B$4="Todos",'B̳ases'!$C285=$B$4),OR($B$5="Todos",'B̳ases'!$G285=$C$5),OR($B$6="Todos",'B̳ases'!$E285=$C$6)),'B̳ases'!$M285+ROW()/1000000,"")</f>
        <v>58.000296</v>
      </c>
    </row>
    <row r="297" ht="15.75" customHeight="1">
      <c r="J297" s="25" t="str">
        <f>IF(AND(OR($B$4="Todos",'B̳ases'!$C286=$B$4),OR($B$5="Todos",'B̳ases'!$G286=$C$5),OR($B$6="Todos",'B̳ases'!$E286=$C$6)),'B̳ases'!$M286+ROW()/1000000,"")</f>
        <v>20.000297</v>
      </c>
    </row>
    <row r="298" ht="15.75" customHeight="1">
      <c r="J298" s="25" t="str">
        <f>IF(AND(OR($B$4="Todos",'B̳ases'!$C287=$B$4),OR($B$5="Todos",'B̳ases'!$G287=$C$5),OR($B$6="Todos",'B̳ases'!$E287=$C$6)),'B̳ases'!$M287+ROW()/1000000,"")</f>
        <v>5.000298</v>
      </c>
    </row>
    <row r="299" ht="15.75" customHeight="1">
      <c r="J299" s="25" t="str">
        <f>IF(AND(OR($B$4="Todos",'B̳ases'!$C288=$B$4),OR($B$5="Todos",'B̳ases'!$G288=$C$5),OR($B$6="Todos",'B̳ases'!$E288=$C$6)),'B̳ases'!$M288+ROW()/1000000,"")</f>
        <v>45.000299</v>
      </c>
    </row>
    <row r="300" ht="15.75" customHeight="1">
      <c r="J300" s="25" t="str">
        <f>IF(AND(OR($B$4="Todos",'B̳ases'!$C289=$B$4),OR($B$5="Todos",'B̳ases'!$G289=$C$5),OR($B$6="Todos",'B̳ases'!$E289=$C$6)),'B̳ases'!$M289+ROW()/1000000,"")</f>
        <v>18.000300</v>
      </c>
    </row>
    <row r="301" ht="15.75" customHeight="1">
      <c r="J301" s="25" t="str">
        <f>IF(AND(OR($B$4="Todos",'B̳ases'!$C290=$B$4),OR($B$5="Todos",'B̳ases'!$G290=$C$5),OR($B$6="Todos",'B̳ases'!$E290=$C$6)),'B̳ases'!$M290+ROW()/1000000,"")</f>
        <v>3.000301</v>
      </c>
    </row>
    <row r="302" ht="15.75" customHeight="1">
      <c r="J302" s="25" t="str">
        <f>IF(AND(OR($B$4="Todos",'B̳ases'!$C291=$B$4),OR($B$5="Todos",'B̳ases'!$G291=$C$5),OR($B$6="Todos",'B̳ases'!$E291=$C$6)),'B̳ases'!$M291+ROW()/1000000,"")</f>
        <v>60.000302</v>
      </c>
    </row>
    <row r="303" ht="15.75" customHeight="1">
      <c r="J303" s="25" t="str">
        <f>IF(AND(OR($B$4="Todos",'B̳ases'!$C292=$B$4),OR($B$5="Todos",'B̳ases'!$G292=$C$5),OR($B$6="Todos",'B̳ases'!$E292=$C$6)),'B̳ases'!$M292+ROW()/1000000,"")</f>
        <v>20.000303</v>
      </c>
    </row>
    <row r="304" ht="15.75" customHeight="1">
      <c r="J304" s="25" t="str">
        <f>IF(AND(OR($B$4="Todos",'B̳ases'!$C293=$B$4),OR($B$5="Todos",'B̳ases'!$G293=$C$5),OR($B$6="Todos",'B̳ases'!$E293=$C$6)),'B̳ases'!$M293+ROW()/1000000,"")</f>
        <v>5.000304</v>
      </c>
    </row>
    <row r="305" ht="15.75" customHeight="1">
      <c r="J305" s="25" t="str">
        <f>IF(AND(OR($B$4="Todos",'B̳ases'!$C294=$B$4),OR($B$5="Todos",'B̳ases'!$G294=$C$5),OR($B$6="Todos",'B̳ases'!$E294=$C$6)),'B̳ases'!$M294+ROW()/1000000,"")</f>
        <v>62.000305</v>
      </c>
    </row>
    <row r="306" ht="15.75" customHeight="1">
      <c r="J306" s="25" t="str">
        <f>IF(AND(OR($B$4="Todos",'B̳ases'!$C295=$B$4),OR($B$5="Todos",'B̳ases'!$G295=$C$5),OR($B$6="Todos",'B̳ases'!$E295=$C$6)),'B̳ases'!$M295+ROW()/1000000,"")</f>
        <v>15.000306</v>
      </c>
    </row>
    <row r="307" ht="15.75" customHeight="1">
      <c r="J307" s="25" t="str">
        <f>IF(AND(OR($B$4="Todos",'B̳ases'!$C296=$B$4),OR($B$5="Todos",'B̳ases'!$G296=$C$5),OR($B$6="Todos",'B̳ases'!$E296=$C$6)),'B̳ases'!$M296+ROW()/1000000,"")</f>
        <v>4.000307</v>
      </c>
    </row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5"/>
    <col customWidth="1" min="2" max="16" width="11.5"/>
    <col customWidth="1" min="17" max="17" width="2.5"/>
  </cols>
  <sheetData>
    <row r="1" ht="7.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ht="25.5" customHeight="1">
      <c r="A2" s="35"/>
      <c r="B2" s="35"/>
      <c r="C2" s="35"/>
      <c r="D2" s="35"/>
      <c r="E2" s="36" t="s">
        <v>389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8"/>
      <c r="Q2" s="35"/>
    </row>
    <row r="3" ht="21.75" customHeight="1">
      <c r="A3" s="35"/>
      <c r="B3" s="35"/>
      <c r="C3" s="35"/>
      <c r="D3" s="35"/>
      <c r="E3" s="39" t="str">
        <f>"Período da base: "&amp;TEXT(MIN('B̳ases'!$D$2:$D$296),"dd/mm/yyyy")&amp;" a "&amp;TEXT(MAX('B̳ases'!$D$2:$D$296),"dd/mm/yyyy")&amp;"  ·  "&amp;TEXT(COUNTA('B̳ases'!$A$2:$A$296),"#,##0")&amp;" assinaturas"</f>
        <v>Período da base: 01/01/2024 a 16/12/2024  ·  295 assinaturas</v>
      </c>
      <c r="F3" s="37"/>
      <c r="G3" s="37"/>
      <c r="H3" s="37"/>
      <c r="I3" s="37"/>
      <c r="J3" s="37"/>
      <c r="K3" s="37"/>
      <c r="L3" s="37"/>
      <c r="M3" s="37"/>
      <c r="N3" s="37"/>
      <c r="O3" s="37"/>
      <c r="P3" s="38"/>
      <c r="Q3" s="35"/>
    </row>
    <row r="4" ht="7.5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ht="4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ht="18.0" customHeight="1">
      <c r="A6" s="4"/>
      <c r="B6" s="40" t="s">
        <v>390</v>
      </c>
      <c r="C6" s="4"/>
      <c r="D6" s="4"/>
      <c r="E6" s="40" t="s">
        <v>391</v>
      </c>
      <c r="F6" s="4"/>
      <c r="G6" s="4"/>
      <c r="H6" s="40" t="s">
        <v>392</v>
      </c>
      <c r="I6" s="4"/>
      <c r="J6" s="4"/>
      <c r="K6" s="4"/>
      <c r="L6" s="4"/>
      <c r="M6" s="4"/>
      <c r="N6" s="4"/>
      <c r="O6" s="4"/>
      <c r="P6" s="4"/>
      <c r="Q6" s="4"/>
    </row>
    <row r="7" ht="24.0" customHeight="1">
      <c r="A7" s="4"/>
      <c r="B7" s="41" t="s">
        <v>393</v>
      </c>
      <c r="C7" s="42"/>
      <c r="D7" s="43"/>
      <c r="E7" s="41" t="s">
        <v>393</v>
      </c>
      <c r="F7" s="42"/>
      <c r="G7" s="43"/>
      <c r="H7" s="41" t="s">
        <v>393</v>
      </c>
      <c r="I7" s="42"/>
      <c r="J7" s="43"/>
      <c r="K7" s="44" t="s">
        <v>394</v>
      </c>
      <c r="L7" s="37"/>
      <c r="M7" s="37"/>
      <c r="N7" s="37"/>
      <c r="O7" s="37"/>
      <c r="P7" s="38"/>
      <c r="Q7" s="4"/>
    </row>
    <row r="8" ht="7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ht="18.0" customHeight="1">
      <c r="A9" s="4"/>
      <c r="B9" s="45" t="s">
        <v>395</v>
      </c>
      <c r="C9" s="37"/>
      <c r="D9" s="38"/>
      <c r="E9" s="45" t="s">
        <v>396</v>
      </c>
      <c r="F9" s="37"/>
      <c r="G9" s="38"/>
      <c r="H9" s="45" t="s">
        <v>397</v>
      </c>
      <c r="I9" s="37"/>
      <c r="J9" s="38"/>
      <c r="K9" s="45" t="s">
        <v>398</v>
      </c>
      <c r="L9" s="37"/>
      <c r="M9" s="38"/>
      <c r="N9" s="45" t="s">
        <v>392</v>
      </c>
      <c r="O9" s="37"/>
      <c r="P9" s="38"/>
      <c r="Q9" s="4"/>
    </row>
    <row r="10" ht="19.5" customHeight="1">
      <c r="A10" s="4"/>
      <c r="B10" s="46" t="str">
        <f>'C̳álculos'!B52</f>
        <v>R$ 7,633</v>
      </c>
      <c r="C10" s="47"/>
      <c r="D10" s="48"/>
      <c r="E10" s="49" t="str">
        <f>'C̳álculos'!B53</f>
        <v>295</v>
      </c>
      <c r="F10" s="47"/>
      <c r="G10" s="48"/>
      <c r="H10" s="50" t="str">
        <f>'C̳álculos'!B54</f>
        <v>R$ 25.87</v>
      </c>
      <c r="I10" s="47"/>
      <c r="J10" s="48"/>
      <c r="K10" s="46" t="str">
        <f>'C̳álculos'!B55</f>
        <v>R$ 2,122</v>
      </c>
      <c r="L10" s="47"/>
      <c r="M10" s="48"/>
      <c r="N10" s="51" t="str">
        <f>'C̳álculos'!B57</f>
        <v>50.2%</v>
      </c>
      <c r="O10" s="47"/>
      <c r="P10" s="48"/>
      <c r="Q10" s="4"/>
    </row>
    <row r="11" ht="19.5" customHeight="1">
      <c r="A11" s="4"/>
      <c r="B11" s="52"/>
      <c r="C11" s="53"/>
      <c r="D11" s="54"/>
      <c r="E11" s="52"/>
      <c r="F11" s="53"/>
      <c r="G11" s="54"/>
      <c r="H11" s="52"/>
      <c r="I11" s="53"/>
      <c r="J11" s="54"/>
      <c r="K11" s="52"/>
      <c r="L11" s="53"/>
      <c r="M11" s="54"/>
      <c r="N11" s="52"/>
      <c r="O11" s="53"/>
      <c r="P11" s="54"/>
      <c r="Q11" s="4"/>
    </row>
    <row r="12" ht="15.75" customHeight="1">
      <c r="A12" s="4"/>
      <c r="B12" s="55" t="str">
        <f>"soma do valor total das assinaturas"</f>
        <v>soma do valor total das assinaturas</v>
      </c>
      <c r="C12" s="37"/>
      <c r="D12" s="38"/>
      <c r="E12" s="55" t="str">
        <f>"assinaturas na seleção"</f>
        <v>assinaturas na seleção</v>
      </c>
      <c r="F12" s="37"/>
      <c r="G12" s="38"/>
      <c r="H12" s="55" t="str">
        <f>"receita ÷ assinantes"</f>
        <v>receita ÷ assinantes</v>
      </c>
      <c r="I12" s="37"/>
      <c r="J12" s="38"/>
      <c r="K12" s="55" t="str">
        <f>TEXT('C̳álculos'!B56,"0%")&amp;" do valor bruto"</f>
        <v>22% do valor bruto</v>
      </c>
      <c r="L12" s="37"/>
      <c r="M12" s="38"/>
      <c r="N12" s="55" t="str">
        <f>"assinaturas com renovação ativa"</f>
        <v>assinaturas com renovação ativa</v>
      </c>
      <c r="O12" s="37"/>
      <c r="P12" s="38"/>
      <c r="Q12" s="4"/>
    </row>
    <row r="13" ht="7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ht="15.75" customHeight="1">
      <c r="A46" s="4"/>
      <c r="B46" s="4"/>
      <c r="C46" s="4"/>
      <c r="D46" s="4"/>
      <c r="E46" s="4"/>
      <c r="F46" s="4"/>
      <c r="G46" s="56" t="s">
        <v>399</v>
      </c>
      <c r="H46" s="37"/>
      <c r="I46" s="37"/>
      <c r="J46" s="37"/>
      <c r="K46" s="37"/>
      <c r="L46" s="37"/>
      <c r="M46" s="37"/>
      <c r="N46" s="37"/>
      <c r="O46" s="37"/>
      <c r="P46" s="38"/>
      <c r="Q46" s="4"/>
    </row>
    <row r="47" ht="15.0" customHeight="1">
      <c r="A47" s="4"/>
      <c r="B47" s="4"/>
      <c r="C47" s="4"/>
      <c r="D47" s="4"/>
      <c r="E47" s="4"/>
      <c r="F47" s="4"/>
      <c r="G47" s="57" t="s">
        <v>400</v>
      </c>
      <c r="H47" s="58" t="s">
        <v>388</v>
      </c>
      <c r="I47" s="37"/>
      <c r="J47" s="38"/>
      <c r="K47" s="58" t="s">
        <v>320</v>
      </c>
      <c r="L47" s="38"/>
      <c r="M47" s="58" t="s">
        <v>356</v>
      </c>
      <c r="N47" s="38"/>
      <c r="O47" s="58" t="s">
        <v>401</v>
      </c>
      <c r="P47" s="38"/>
      <c r="Q47" s="4"/>
    </row>
    <row r="48" ht="15.75" customHeight="1">
      <c r="A48" s="4"/>
      <c r="B48" s="4"/>
      <c r="C48" s="4"/>
      <c r="D48" s="4"/>
      <c r="E48" s="4"/>
      <c r="F48" s="4"/>
      <c r="G48" s="59" t="str">
        <f>IF('C̳álculos'!D73="","",1)</f>
        <v>1</v>
      </c>
      <c r="H48" s="60" t="str">
        <f>'C̳álculos'!D73</f>
        <v>Carla Siqueira</v>
      </c>
      <c r="I48" s="37"/>
      <c r="J48" s="38"/>
      <c r="K48" s="61" t="str">
        <f>'C̳álculos'!E73</f>
        <v>Ultimate</v>
      </c>
      <c r="L48" s="38"/>
      <c r="M48" s="61" t="str">
        <f>'C̳álculos'!F73</f>
        <v>Mensal</v>
      </c>
      <c r="N48" s="38"/>
      <c r="O48" s="62" t="str">
        <f>'C̳álculos'!G73</f>
        <v>R$ 62</v>
      </c>
      <c r="P48" s="38"/>
      <c r="Q48" s="4"/>
    </row>
    <row r="49" ht="15.75" customHeight="1">
      <c r="A49" s="4"/>
      <c r="B49" s="4"/>
      <c r="C49" s="4"/>
      <c r="D49" s="4"/>
      <c r="E49" s="4"/>
      <c r="F49" s="4"/>
      <c r="G49" s="63" t="str">
        <f>IF('C̳álculos'!D74="","",2)</f>
        <v>2</v>
      </c>
      <c r="H49" s="64" t="str">
        <f>'C̳álculos'!D74</f>
        <v>Natália Castro</v>
      </c>
      <c r="I49" s="37"/>
      <c r="J49" s="38"/>
      <c r="K49" s="65" t="str">
        <f>'C̳álculos'!E74</f>
        <v>Ultimate</v>
      </c>
      <c r="L49" s="38"/>
      <c r="M49" s="65" t="str">
        <f>'C̳álculos'!F74</f>
        <v>Anual</v>
      </c>
      <c r="N49" s="38"/>
      <c r="O49" s="66" t="str">
        <f>'C̳álculos'!G74</f>
        <v>R$ 62</v>
      </c>
      <c r="P49" s="38"/>
      <c r="Q49" s="4"/>
    </row>
    <row r="50" ht="15.75" customHeight="1">
      <c r="A50" s="4"/>
      <c r="B50" s="4"/>
      <c r="C50" s="4"/>
      <c r="D50" s="4"/>
      <c r="E50" s="4"/>
      <c r="F50" s="4"/>
      <c r="G50" s="59" t="str">
        <f>IF('C̳álculos'!D75="","",3)</f>
        <v>3</v>
      </c>
      <c r="H50" s="60" t="str">
        <f>'C̳álculos'!D75</f>
        <v>Elisa Correia</v>
      </c>
      <c r="I50" s="37"/>
      <c r="J50" s="38"/>
      <c r="K50" s="61" t="str">
        <f>'C̳álculos'!E75</f>
        <v>Ultimate</v>
      </c>
      <c r="L50" s="38"/>
      <c r="M50" s="61" t="str">
        <f>'C̳álculos'!F75</f>
        <v>Mensal</v>
      </c>
      <c r="N50" s="38"/>
      <c r="O50" s="62" t="str">
        <f>'C̳álculos'!G75</f>
        <v>R$ 62</v>
      </c>
      <c r="P50" s="38"/>
      <c r="Q50" s="4"/>
    </row>
    <row r="51" ht="15.75" customHeight="1">
      <c r="A51" s="4"/>
      <c r="B51" s="4"/>
      <c r="C51" s="4"/>
      <c r="D51" s="4"/>
      <c r="E51" s="4"/>
      <c r="F51" s="4"/>
      <c r="G51" s="63" t="str">
        <f>IF('C̳álculos'!D76="","",4)</f>
        <v>4</v>
      </c>
      <c r="H51" s="64" t="str">
        <f>'C̳álculos'!D76</f>
        <v>Natália Soares</v>
      </c>
      <c r="I51" s="37"/>
      <c r="J51" s="38"/>
      <c r="K51" s="65" t="str">
        <f>'C̳álculos'!E76</f>
        <v>Ultimate</v>
      </c>
      <c r="L51" s="38"/>
      <c r="M51" s="65" t="str">
        <f>'C̳álculos'!F76</f>
        <v>Anual</v>
      </c>
      <c r="N51" s="38"/>
      <c r="O51" s="66" t="str">
        <f>'C̳álculos'!G76</f>
        <v>R$ 62</v>
      </c>
      <c r="P51" s="38"/>
      <c r="Q51" s="4"/>
    </row>
    <row r="52" ht="15.75" customHeight="1">
      <c r="A52" s="4"/>
      <c r="B52" s="4"/>
      <c r="C52" s="4"/>
      <c r="D52" s="4"/>
      <c r="E52" s="4"/>
      <c r="F52" s="4"/>
      <c r="G52" s="59" t="str">
        <f>IF('C̳álculos'!D77="","",5)</f>
        <v>5</v>
      </c>
      <c r="H52" s="60" t="str">
        <f>'C̳álculos'!D77</f>
        <v>Elisa Neves</v>
      </c>
      <c r="I52" s="37"/>
      <c r="J52" s="38"/>
      <c r="K52" s="61" t="str">
        <f>'C̳álculos'!E77</f>
        <v>Ultimate</v>
      </c>
      <c r="L52" s="38"/>
      <c r="M52" s="61" t="str">
        <f>'C̳álculos'!F77</f>
        <v>Mensal</v>
      </c>
      <c r="N52" s="38"/>
      <c r="O52" s="62" t="str">
        <f>'C̳álculos'!G77</f>
        <v>R$ 62</v>
      </c>
      <c r="P52" s="38"/>
      <c r="Q52" s="4"/>
    </row>
    <row r="53" ht="15.75" customHeight="1">
      <c r="A53" s="4"/>
      <c r="B53" s="4"/>
      <c r="C53" s="4"/>
      <c r="D53" s="4"/>
      <c r="E53" s="4"/>
      <c r="F53" s="4"/>
      <c r="G53" s="63" t="str">
        <f>IF('C̳álculos'!D78="","",6)</f>
        <v>6</v>
      </c>
      <c r="H53" s="64" t="str">
        <f>'C̳álculos'!D78</f>
        <v>Patrícia Leite</v>
      </c>
      <c r="I53" s="37"/>
      <c r="J53" s="38"/>
      <c r="K53" s="65" t="str">
        <f>'C̳álculos'!E78</f>
        <v>Ultimate</v>
      </c>
      <c r="L53" s="38"/>
      <c r="M53" s="65" t="str">
        <f>'C̳álculos'!F78</f>
        <v>Anual</v>
      </c>
      <c r="N53" s="38"/>
      <c r="O53" s="66" t="str">
        <f>'C̳álculos'!G78</f>
        <v>R$ 62</v>
      </c>
      <c r="P53" s="38"/>
      <c r="Q53" s="4"/>
    </row>
    <row r="54" ht="15.75" customHeight="1">
      <c r="A54" s="4"/>
      <c r="B54" s="4"/>
      <c r="C54" s="4"/>
      <c r="D54" s="4"/>
      <c r="E54" s="4"/>
      <c r="F54" s="4"/>
      <c r="G54" s="59" t="str">
        <f>IF('C̳álculos'!D79="","",7)</f>
        <v>7</v>
      </c>
      <c r="H54" s="60" t="str">
        <f>'C̳álculos'!D79</f>
        <v>Gabriel Santos</v>
      </c>
      <c r="I54" s="37"/>
      <c r="J54" s="38"/>
      <c r="K54" s="61" t="str">
        <f>'C̳álculos'!E79</f>
        <v>Ultimate</v>
      </c>
      <c r="L54" s="38"/>
      <c r="M54" s="61" t="str">
        <f>'C̳álculos'!F79</f>
        <v>Mensal</v>
      </c>
      <c r="N54" s="38"/>
      <c r="O54" s="62" t="str">
        <f>'C̳álculos'!G79</f>
        <v>R$ 62</v>
      </c>
      <c r="P54" s="38"/>
      <c r="Q54" s="4"/>
    </row>
    <row r="55" ht="15.75" customHeight="1">
      <c r="A55" s="4"/>
      <c r="B55" s="4"/>
      <c r="C55" s="4"/>
      <c r="D55" s="4"/>
      <c r="E55" s="4"/>
      <c r="F55" s="4"/>
      <c r="G55" s="63" t="str">
        <f>IF('C̳álculos'!D80="","",8)</f>
        <v>8</v>
      </c>
      <c r="H55" s="64" t="str">
        <f>'C̳álculos'!D80</f>
        <v>Joana Silveira</v>
      </c>
      <c r="I55" s="37"/>
      <c r="J55" s="38"/>
      <c r="K55" s="65" t="str">
        <f>'C̳álculos'!E80</f>
        <v>Ultimate</v>
      </c>
      <c r="L55" s="38"/>
      <c r="M55" s="65" t="str">
        <f>'C̳álculos'!F80</f>
        <v>Anual</v>
      </c>
      <c r="N55" s="38"/>
      <c r="O55" s="66" t="str">
        <f>'C̳álculos'!G80</f>
        <v>R$ 62</v>
      </c>
      <c r="P55" s="38"/>
      <c r="Q55" s="4"/>
    </row>
    <row r="56" ht="15.75" customHeight="1">
      <c r="A56" s="4"/>
      <c r="B56" s="4"/>
      <c r="C56" s="4"/>
      <c r="D56" s="4"/>
      <c r="E56" s="4"/>
      <c r="F56" s="4"/>
      <c r="G56" s="59" t="str">
        <f>IF('C̳álculos'!D81="","",9)</f>
        <v>9</v>
      </c>
      <c r="H56" s="60" t="str">
        <f>'C̳álculos'!D81</f>
        <v>André Lopes</v>
      </c>
      <c r="I56" s="37"/>
      <c r="J56" s="38"/>
      <c r="K56" s="61" t="str">
        <f>'C̳álculos'!E81</f>
        <v>Ultimate</v>
      </c>
      <c r="L56" s="38"/>
      <c r="M56" s="61" t="str">
        <f>'C̳álculos'!F81</f>
        <v>Mensal</v>
      </c>
      <c r="N56" s="38"/>
      <c r="O56" s="62" t="str">
        <f>'C̳álculos'!G81</f>
        <v>R$ 62</v>
      </c>
      <c r="P56" s="38"/>
      <c r="Q56" s="4"/>
    </row>
    <row r="57" ht="15.75" customHeight="1">
      <c r="A57" s="4"/>
      <c r="B57" s="4"/>
      <c r="C57" s="4"/>
      <c r="D57" s="4"/>
      <c r="E57" s="4"/>
      <c r="F57" s="4"/>
      <c r="G57" s="63" t="str">
        <f>IF('C̳álculos'!D82="","",10)</f>
        <v>10</v>
      </c>
      <c r="H57" s="64" t="str">
        <f>'C̳álculos'!D82</f>
        <v>João Carvalho</v>
      </c>
      <c r="I57" s="37"/>
      <c r="J57" s="38"/>
      <c r="K57" s="65" t="str">
        <f>'C̳álculos'!E82</f>
        <v>Ultimate</v>
      </c>
      <c r="L57" s="38"/>
      <c r="M57" s="65" t="str">
        <f>'C̳álculos'!F82</f>
        <v>Mensal</v>
      </c>
      <c r="N57" s="38"/>
      <c r="O57" s="66" t="str">
        <f>'C̳álculos'!G82</f>
        <v>R$ 62</v>
      </c>
      <c r="P57" s="38"/>
      <c r="Q57" s="4"/>
    </row>
    <row r="58" ht="15.75" customHeight="1">
      <c r="A58" s="4"/>
      <c r="B58" s="4"/>
      <c r="C58" s="4"/>
      <c r="D58" s="4"/>
      <c r="E58" s="4"/>
      <c r="F58" s="4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4"/>
    </row>
    <row r="59" ht="15.0" customHeight="1">
      <c r="A59" s="4"/>
      <c r="B59" s="4"/>
      <c r="C59" s="4"/>
      <c r="D59" s="4"/>
      <c r="E59" s="4"/>
      <c r="F59" s="4"/>
      <c r="G59" s="67" t="s">
        <v>402</v>
      </c>
      <c r="H59" s="47"/>
      <c r="I59" s="47"/>
      <c r="J59" s="47"/>
      <c r="K59" s="47"/>
      <c r="L59" s="47"/>
      <c r="M59" s="47"/>
      <c r="N59" s="47"/>
      <c r="O59" s="47"/>
      <c r="P59" s="48"/>
      <c r="Q59" s="4"/>
    </row>
    <row r="60" ht="15.75" customHeight="1">
      <c r="A60" s="4"/>
      <c r="B60" s="4"/>
      <c r="C60" s="4"/>
      <c r="D60" s="4"/>
      <c r="E60" s="4"/>
      <c r="F60" s="4"/>
      <c r="G60" s="68"/>
      <c r="H60" s="53"/>
      <c r="I60" s="53"/>
      <c r="J60" s="53"/>
      <c r="K60" s="53"/>
      <c r="L60" s="53"/>
      <c r="M60" s="53"/>
      <c r="N60" s="53"/>
      <c r="O60" s="53"/>
      <c r="P60" s="54"/>
      <c r="Q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ht="15.75" customHeight="1">
      <c r="A62" s="4"/>
      <c r="B62" s="56" t="s">
        <v>403</v>
      </c>
      <c r="C62" s="37"/>
      <c r="D62" s="37"/>
      <c r="E62" s="37"/>
      <c r="F62" s="37"/>
      <c r="G62" s="37"/>
      <c r="H62" s="38"/>
      <c r="I62" s="4"/>
      <c r="J62" s="56" t="s">
        <v>404</v>
      </c>
      <c r="K62" s="37"/>
      <c r="L62" s="37"/>
      <c r="M62" s="37"/>
      <c r="N62" s="37"/>
      <c r="O62" s="37"/>
      <c r="P62" s="38"/>
      <c r="Q62" s="4"/>
    </row>
    <row r="63" ht="15.0" customHeight="1">
      <c r="A63" s="4"/>
      <c r="B63" s="58" t="s">
        <v>320</v>
      </c>
      <c r="C63" s="38"/>
      <c r="D63" s="57" t="s">
        <v>321</v>
      </c>
      <c r="E63" s="57" t="s">
        <v>323</v>
      </c>
      <c r="F63" s="57" t="s">
        <v>325</v>
      </c>
      <c r="G63" s="58" t="s">
        <v>338</v>
      </c>
      <c r="H63" s="38"/>
      <c r="I63" s="4"/>
      <c r="J63" s="60" t="s">
        <v>377</v>
      </c>
      <c r="K63" s="37"/>
      <c r="L63" s="37"/>
      <c r="M63" s="38"/>
      <c r="N63" s="69" t="str">
        <f>'C̳álculos'!B58</f>
        <v>147</v>
      </c>
      <c r="O63" s="37"/>
      <c r="P63" s="38"/>
      <c r="Q63" s="4"/>
    </row>
    <row r="64" ht="15.75" customHeight="1">
      <c r="A64" s="4"/>
      <c r="B64" s="60" t="str">
        <f>'C̳álculos'!A66</f>
        <v>Core</v>
      </c>
      <c r="C64" s="38"/>
      <c r="D64" s="70" t="str">
        <f>'C̳álculos'!B66</f>
        <v>R$ 192</v>
      </c>
      <c r="E64" s="70" t="str">
        <f>'C̳álculos'!C66</f>
        <v>R$ 132</v>
      </c>
      <c r="F64" s="70" t="str">
        <f>'C̳álculos'!D66</f>
        <v>R$ 120</v>
      </c>
      <c r="G64" s="71" t="str">
        <f>'C̳álculos'!E66</f>
        <v>R$ 444</v>
      </c>
      <c r="H64" s="38"/>
      <c r="I64" s="4"/>
      <c r="J64" s="60" t="s">
        <v>379</v>
      </c>
      <c r="K64" s="37"/>
      <c r="L64" s="37"/>
      <c r="M64" s="38"/>
      <c r="N64" s="72" t="str">
        <f>'C̳álculos'!B59</f>
        <v>R$ 3,847</v>
      </c>
      <c r="O64" s="37"/>
      <c r="P64" s="38"/>
      <c r="Q64" s="4"/>
    </row>
    <row r="65" ht="15.75" customHeight="1">
      <c r="A65" s="4"/>
      <c r="B65" s="60" t="str">
        <f>'C̳álculos'!A67</f>
        <v>Standard</v>
      </c>
      <c r="C65" s="38"/>
      <c r="D65" s="70" t="str">
        <f>'C̳álculos'!B67</f>
        <v>R$ 958</v>
      </c>
      <c r="E65" s="70" t="str">
        <f>'C̳álculos'!C67</f>
        <v>R$ 395</v>
      </c>
      <c r="F65" s="70" t="str">
        <f>'C̳álculos'!D67</f>
        <v>R$ 448</v>
      </c>
      <c r="G65" s="71" t="str">
        <f>'C̳álculos'!E67</f>
        <v>R$ 1,801</v>
      </c>
      <c r="H65" s="38"/>
      <c r="I65" s="4"/>
      <c r="J65" s="60" t="s">
        <v>380</v>
      </c>
      <c r="K65" s="37"/>
      <c r="L65" s="37"/>
      <c r="M65" s="38"/>
      <c r="N65" s="69" t="str">
        <f>'C̳álculos'!B60</f>
        <v>139</v>
      </c>
      <c r="O65" s="37"/>
      <c r="P65" s="38"/>
      <c r="Q65" s="4"/>
    </row>
    <row r="66" ht="15.75" customHeight="1">
      <c r="A66" s="4"/>
      <c r="B66" s="60" t="str">
        <f>'C̳álculos'!A68</f>
        <v>Ultimate</v>
      </c>
      <c r="C66" s="38"/>
      <c r="D66" s="70" t="str">
        <f>'C̳álculos'!B68</f>
        <v>R$ 2,421</v>
      </c>
      <c r="E66" s="70" t="str">
        <f>'C̳álculos'!C68</f>
        <v>R$ 1,781</v>
      </c>
      <c r="F66" s="70" t="str">
        <f>'C̳álculos'!D68</f>
        <v>R$ 1,186</v>
      </c>
      <c r="G66" s="71" t="str">
        <f>'C̳álculos'!E68</f>
        <v>R$ 5,388</v>
      </c>
      <c r="H66" s="38"/>
      <c r="I66" s="4"/>
      <c r="J66" s="60" t="s">
        <v>379</v>
      </c>
      <c r="K66" s="37"/>
      <c r="L66" s="37"/>
      <c r="M66" s="38"/>
      <c r="N66" s="72" t="str">
        <f>'C̳álculos'!B61</f>
        <v>R$ 3,571</v>
      </c>
      <c r="O66" s="37"/>
      <c r="P66" s="38"/>
      <c r="Q66" s="4"/>
    </row>
    <row r="67" ht="15.75" customHeight="1">
      <c r="A67" s="4"/>
      <c r="B67" s="73" t="str">
        <f>'C̳álculos'!A69</f>
        <v>Total</v>
      </c>
      <c r="C67" s="38"/>
      <c r="D67" s="74" t="str">
        <f>'C̳álculos'!B69</f>
        <v>R$ 3,571</v>
      </c>
      <c r="E67" s="74" t="str">
        <f>'C̳álculos'!C69</f>
        <v>R$ 2,308</v>
      </c>
      <c r="F67" s="74" t="str">
        <f>'C̳álculos'!D69</f>
        <v>R$ 1,754</v>
      </c>
      <c r="G67" s="71" t="str">
        <f>'C̳álculos'!E69</f>
        <v>R$ 7,633</v>
      </c>
      <c r="H67" s="38"/>
      <c r="I67" s="4"/>
      <c r="J67" s="75" t="s">
        <v>405</v>
      </c>
      <c r="K67" s="37"/>
      <c r="L67" s="37"/>
      <c r="M67" s="37"/>
      <c r="N67" s="37"/>
      <c r="O67" s="37"/>
      <c r="P67" s="38"/>
      <c r="Q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ht="15.0" customHeight="1">
      <c r="A69" s="4"/>
      <c r="B69" s="76" t="s">
        <v>406</v>
      </c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8"/>
      <c r="Q69" s="4"/>
    </row>
    <row r="70" ht="15.75" customHeight="1">
      <c r="A70" s="4"/>
      <c r="B70" s="68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4"/>
      <c r="Q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9">
    <mergeCell ref="H49:J49"/>
    <mergeCell ref="H50:J50"/>
    <mergeCell ref="K50:L50"/>
    <mergeCell ref="M50:N50"/>
    <mergeCell ref="O50:P50"/>
    <mergeCell ref="H51:J51"/>
    <mergeCell ref="K51:L51"/>
    <mergeCell ref="H52:J52"/>
    <mergeCell ref="K52:L52"/>
    <mergeCell ref="M52:N52"/>
    <mergeCell ref="O52:P52"/>
    <mergeCell ref="K53:L53"/>
    <mergeCell ref="M53:N53"/>
    <mergeCell ref="O53:P53"/>
    <mergeCell ref="M55:N55"/>
    <mergeCell ref="O55:P55"/>
    <mergeCell ref="H53:J53"/>
    <mergeCell ref="H54:J54"/>
    <mergeCell ref="K54:L54"/>
    <mergeCell ref="M54:N54"/>
    <mergeCell ref="O54:P54"/>
    <mergeCell ref="H55:J55"/>
    <mergeCell ref="K55:L55"/>
    <mergeCell ref="H56:J56"/>
    <mergeCell ref="K56:L56"/>
    <mergeCell ref="M56:N56"/>
    <mergeCell ref="O56:P56"/>
    <mergeCell ref="K57:L57"/>
    <mergeCell ref="M57:N57"/>
    <mergeCell ref="O57:P57"/>
    <mergeCell ref="H57:J57"/>
    <mergeCell ref="G59:P60"/>
    <mergeCell ref="B62:H62"/>
    <mergeCell ref="J62:P62"/>
    <mergeCell ref="G63:H63"/>
    <mergeCell ref="J63:M63"/>
    <mergeCell ref="N63:P63"/>
    <mergeCell ref="J65:M65"/>
    <mergeCell ref="N65:P65"/>
    <mergeCell ref="J66:M66"/>
    <mergeCell ref="N66:P66"/>
    <mergeCell ref="B63:C63"/>
    <mergeCell ref="B64:C64"/>
    <mergeCell ref="G64:H64"/>
    <mergeCell ref="J64:M64"/>
    <mergeCell ref="N64:P64"/>
    <mergeCell ref="B65:C65"/>
    <mergeCell ref="B66:C66"/>
    <mergeCell ref="E2:P2"/>
    <mergeCell ref="E3:P3"/>
    <mergeCell ref="B7:D7"/>
    <mergeCell ref="E7:G7"/>
    <mergeCell ref="H7:J7"/>
    <mergeCell ref="K7:P7"/>
    <mergeCell ref="B9:D9"/>
    <mergeCell ref="B12:D12"/>
    <mergeCell ref="E12:G12"/>
    <mergeCell ref="H12:J12"/>
    <mergeCell ref="K12:M12"/>
    <mergeCell ref="N12:P12"/>
    <mergeCell ref="E9:G9"/>
    <mergeCell ref="H9:J9"/>
    <mergeCell ref="B10:D11"/>
    <mergeCell ref="E10:G11"/>
    <mergeCell ref="H10:J11"/>
    <mergeCell ref="K10:M11"/>
    <mergeCell ref="N10:P11"/>
    <mergeCell ref="K9:M9"/>
    <mergeCell ref="N9:P9"/>
    <mergeCell ref="G46:P46"/>
    <mergeCell ref="H47:J47"/>
    <mergeCell ref="K47:L47"/>
    <mergeCell ref="M47:N47"/>
    <mergeCell ref="O47:P47"/>
    <mergeCell ref="H48:J48"/>
    <mergeCell ref="K48:L48"/>
    <mergeCell ref="M48:N48"/>
    <mergeCell ref="O48:P48"/>
    <mergeCell ref="K49:L49"/>
    <mergeCell ref="M49:N49"/>
    <mergeCell ref="O49:P49"/>
    <mergeCell ref="M51:N51"/>
    <mergeCell ref="O51:P51"/>
    <mergeCell ref="G65:H65"/>
    <mergeCell ref="G66:H66"/>
    <mergeCell ref="B67:C67"/>
    <mergeCell ref="G67:H67"/>
    <mergeCell ref="J67:P67"/>
    <mergeCell ref="B69:P70"/>
  </mergeCells>
  <conditionalFormatting sqref="D64:F66">
    <cfRule type="colorScale" priority="1">
      <colorScale>
        <cfvo type="min" val="0"/>
        <cfvo type="max" val="0"/>
        <color rgb="FFFFFFFF"/>
        <color rgb="FF86EFAC"/>
      </colorScale>
    </cfRule>
  </conditionalFormatting>
  <dataValidations>
    <dataValidation type="list" allowBlank="1" sqref="E7">
      <formula1>"Todos,Mensal,Trimestral,Anual"</formula1>
    </dataValidation>
    <dataValidation type="list" allowBlank="1" sqref="H7">
      <formula1>"Todos,Sim,Não"</formula1>
    </dataValidation>
    <dataValidation type="list" allowBlank="1" sqref="B7">
      <formula1>"Todos,Core,Standard,Ultimate"</formula1>
    </dataValidation>
  </dataValidations>
  <printOptions/>
  <pageMargins bottom="0.7875" footer="0.0" header="0.0" left="0.511805555555556" right="0.511805555555556" top="0.78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2024-12-19T13:13:10Z</dcterms:created>
  <dc:creator>Hello</dc:creator>
  <dc:description/>
  <dc:language>en-US</dc:language>
  <cp:lastModifiedBy/>
  <dcterms:modified xsi:type="dcterms:W3CDTF">2026-10-04T18:58:54Z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